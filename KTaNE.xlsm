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szts\Desktop\"/>
    </mc:Choice>
  </mc:AlternateContent>
  <xr:revisionPtr revIDLastSave="0" documentId="13_ncr:1_{DF67DBA5-B850-4E1F-BB33-D3B7FCCAD241}" xr6:coauthVersionLast="43" xr6:coauthVersionMax="43" xr10:uidLastSave="{00000000-0000-0000-0000-000000000000}"/>
  <bookViews>
    <workbookView xWindow="-98" yWindow="-98" windowWidth="20715" windowHeight="13276" tabRatio="889" firstSheet="8" activeTab="13" xr2:uid="{00000000-000D-0000-FFFF-FFFF00000000}"/>
  </bookViews>
  <sheets>
    <sheet name="Vanilla" sheetId="10" r:id="rId1"/>
    <sheet name="Tools" sheetId="12" r:id="rId2"/>
    <sheet name="Algebra" sheetId="14" r:id="rId3"/>
    <sheet name="Alphabet" sheetId="21" r:id="rId4"/>
    <sheet name="Ex_Password" sheetId="24" r:id="rId5"/>
    <sheet name="PasswordV2" sheetId="8" r:id="rId6"/>
    <sheet name="PasswordV3" sheetId="26" r:id="rId7"/>
    <sheet name="LED Encryption" sheetId="15" r:id="rId8"/>
    <sheet name="Complicated Wires" sheetId="2" r:id="rId9"/>
    <sheet name="Combination Lock" sheetId="20" r:id="rId10"/>
    <sheet name="Crazy Talk" sheetId="17" r:id="rId11"/>
    <sheet name="Hexamaze" sheetId="9" r:id="rId12"/>
    <sheet name="Switches" sheetId="18" r:id="rId13"/>
    <sheet name="SwitchesV1" sheetId="27" r:id="rId14"/>
    <sheet name="Two Bits" sheetId="19" r:id="rId15"/>
    <sheet name="Switches datasheet" sheetId="28" r:id="rId16"/>
    <sheet name="Backup_Password " sheetId="4" r:id="rId17"/>
    <sheet name="Password" sheetId="1" r:id="rId18"/>
    <sheet name="Backup_Complicated Wires" sheetId="5" r:id="rId19"/>
    <sheet name="Backup_PasswordV2" sheetId="3" r:id="rId20"/>
    <sheet name="Data_Password_pattern" sheetId="7" r:id="rId21"/>
    <sheet name="Data_Extended_Password_pattern" sheetId="22" r:id="rId22"/>
  </sheets>
  <functionGroups builtInGroupCount="19"/>
  <definedNames>
    <definedName name="_xlnm._FilterDatabase" localSheetId="3" hidden="1">Alphabet!$AA$4:$AA$23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7" l="1"/>
  <c r="T4" i="27"/>
  <c r="T5" i="27"/>
  <c r="T6" i="27"/>
  <c r="T7" i="27"/>
  <c r="T8" i="27"/>
  <c r="T9" i="27"/>
  <c r="T10" i="27"/>
  <c r="T11" i="27"/>
  <c r="T12" i="27"/>
  <c r="N18" i="27" l="1"/>
  <c r="R19" i="27" l="1"/>
  <c r="Q19" i="27"/>
  <c r="P19" i="27"/>
  <c r="O19" i="27"/>
  <c r="N19" i="27"/>
  <c r="T19" i="27" s="1"/>
  <c r="R18" i="27"/>
  <c r="Q18" i="27"/>
  <c r="P18" i="27"/>
  <c r="O18" i="27"/>
  <c r="T18" i="27" l="1"/>
  <c r="M16" i="27"/>
  <c r="M14" i="27"/>
  <c r="K24" i="26"/>
  <c r="K10" i="26"/>
  <c r="M10" i="26"/>
  <c r="I26" i="27"/>
  <c r="T21" i="27" l="1"/>
  <c r="M27" i="3"/>
  <c r="L27" i="3"/>
  <c r="K27" i="3"/>
  <c r="J27" i="3"/>
  <c r="I27" i="3"/>
  <c r="F27" i="3"/>
  <c r="E27" i="3"/>
  <c r="D27" i="3"/>
  <c r="C27" i="3"/>
  <c r="B27" i="3"/>
  <c r="M26" i="3"/>
  <c r="L26" i="3"/>
  <c r="K26" i="3"/>
  <c r="J26" i="3"/>
  <c r="I26" i="3"/>
  <c r="F26" i="3"/>
  <c r="E26" i="3"/>
  <c r="D26" i="3"/>
  <c r="C26" i="3"/>
  <c r="B26" i="3"/>
  <c r="M25" i="3"/>
  <c r="L25" i="3"/>
  <c r="K25" i="3"/>
  <c r="J25" i="3"/>
  <c r="I25" i="3"/>
  <c r="F25" i="3"/>
  <c r="E25" i="3"/>
  <c r="D25" i="3"/>
  <c r="C25" i="3"/>
  <c r="B25" i="3"/>
  <c r="M24" i="3"/>
  <c r="L24" i="3"/>
  <c r="K24" i="3"/>
  <c r="J24" i="3"/>
  <c r="I24" i="3"/>
  <c r="F24" i="3"/>
  <c r="E24" i="3"/>
  <c r="D24" i="3"/>
  <c r="C24" i="3"/>
  <c r="B24" i="3"/>
  <c r="M23" i="3"/>
  <c r="L23" i="3"/>
  <c r="K23" i="3"/>
  <c r="J23" i="3"/>
  <c r="I23" i="3"/>
  <c r="F23" i="3"/>
  <c r="E23" i="3"/>
  <c r="D23" i="3"/>
  <c r="C23" i="3"/>
  <c r="B23" i="3"/>
  <c r="M22" i="3"/>
  <c r="L22" i="3"/>
  <c r="K22" i="3"/>
  <c r="J22" i="3"/>
  <c r="I22" i="3"/>
  <c r="F22" i="3"/>
  <c r="E22" i="3"/>
  <c r="D22" i="3"/>
  <c r="C22" i="3"/>
  <c r="B22" i="3"/>
  <c r="M21" i="3"/>
  <c r="L21" i="3"/>
  <c r="K21" i="3"/>
  <c r="J21" i="3"/>
  <c r="I21" i="3"/>
  <c r="F21" i="3"/>
  <c r="E21" i="3"/>
  <c r="D21" i="3"/>
  <c r="C21" i="3"/>
  <c r="B21" i="3"/>
  <c r="T18" i="3"/>
  <c r="S18" i="3"/>
  <c r="R18" i="3"/>
  <c r="Q18" i="3"/>
  <c r="P18" i="3"/>
  <c r="M18" i="3"/>
  <c r="L18" i="3"/>
  <c r="K18" i="3"/>
  <c r="J18" i="3"/>
  <c r="I18" i="3"/>
  <c r="F18" i="3"/>
  <c r="E18" i="3"/>
  <c r="D18" i="3"/>
  <c r="C18" i="3"/>
  <c r="B18" i="3"/>
  <c r="T17" i="3"/>
  <c r="S17" i="3"/>
  <c r="R17" i="3"/>
  <c r="Q17" i="3"/>
  <c r="P17" i="3"/>
  <c r="M17" i="3"/>
  <c r="L17" i="3"/>
  <c r="K17" i="3"/>
  <c r="J17" i="3"/>
  <c r="I17" i="3"/>
  <c r="F17" i="3"/>
  <c r="E17" i="3"/>
  <c r="D17" i="3"/>
  <c r="C17" i="3"/>
  <c r="B17" i="3"/>
  <c r="T16" i="3"/>
  <c r="S16" i="3"/>
  <c r="R16" i="3"/>
  <c r="Q16" i="3"/>
  <c r="P16" i="3"/>
  <c r="M16" i="3"/>
  <c r="L16" i="3"/>
  <c r="K16" i="3"/>
  <c r="J16" i="3"/>
  <c r="I16" i="3"/>
  <c r="F16" i="3"/>
  <c r="E16" i="3"/>
  <c r="D16" i="3"/>
  <c r="C16" i="3"/>
  <c r="B16" i="3"/>
  <c r="T15" i="3"/>
  <c r="S15" i="3"/>
  <c r="R15" i="3"/>
  <c r="Q15" i="3"/>
  <c r="P15" i="3"/>
  <c r="M15" i="3"/>
  <c r="L15" i="3"/>
  <c r="K15" i="3"/>
  <c r="J15" i="3"/>
  <c r="I15" i="3"/>
  <c r="F15" i="3"/>
  <c r="E15" i="3"/>
  <c r="D15" i="3"/>
  <c r="C15" i="3"/>
  <c r="B15" i="3"/>
  <c r="T14" i="3"/>
  <c r="S14" i="3"/>
  <c r="R14" i="3"/>
  <c r="Q14" i="3"/>
  <c r="P14" i="3"/>
  <c r="M14" i="3"/>
  <c r="L14" i="3"/>
  <c r="K14" i="3"/>
  <c r="J14" i="3"/>
  <c r="I14" i="3"/>
  <c r="F14" i="3"/>
  <c r="E14" i="3"/>
  <c r="D14" i="3"/>
  <c r="C14" i="3"/>
  <c r="B14" i="3"/>
  <c r="T13" i="3"/>
  <c r="S13" i="3"/>
  <c r="R13" i="3"/>
  <c r="Q13" i="3"/>
  <c r="P13" i="3"/>
  <c r="M13" i="3"/>
  <c r="L13" i="3"/>
  <c r="K13" i="3"/>
  <c r="J13" i="3"/>
  <c r="I13" i="3"/>
  <c r="F13" i="3"/>
  <c r="E13" i="3"/>
  <c r="D13" i="3"/>
  <c r="C13" i="3"/>
  <c r="B13" i="3"/>
  <c r="T12" i="3"/>
  <c r="S12" i="3"/>
  <c r="R12" i="3"/>
  <c r="Q12" i="3"/>
  <c r="P12" i="3"/>
  <c r="M12" i="3"/>
  <c r="L12" i="3"/>
  <c r="K12" i="3"/>
  <c r="J12" i="3"/>
  <c r="I12" i="3"/>
  <c r="F12" i="3"/>
  <c r="E12" i="3"/>
  <c r="D12" i="3"/>
  <c r="C12" i="3"/>
  <c r="B12" i="3"/>
  <c r="F32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X8" i="5"/>
  <c r="K8" i="5"/>
  <c r="K9" i="5" s="1"/>
  <c r="X7" i="5"/>
  <c r="O7" i="5"/>
  <c r="O8" i="5" s="1"/>
  <c r="O9" i="5" s="1"/>
  <c r="N7" i="5"/>
  <c r="N8" i="5" s="1"/>
  <c r="N9" i="5" s="1"/>
  <c r="M7" i="5"/>
  <c r="M8" i="5" s="1"/>
  <c r="M9" i="5" s="1"/>
  <c r="L7" i="5"/>
  <c r="L8" i="5" s="1"/>
  <c r="K7" i="5"/>
  <c r="J7" i="5"/>
  <c r="J8" i="5" s="1"/>
  <c r="J9" i="5" s="1"/>
  <c r="X6" i="5"/>
  <c r="X5" i="5"/>
  <c r="X4" i="5"/>
  <c r="H55" i="22"/>
  <c r="G55" i="22"/>
  <c r="F55" i="22"/>
  <c r="E55" i="22"/>
  <c r="D55" i="22"/>
  <c r="C55" i="22"/>
  <c r="K54" i="22"/>
  <c r="J54" i="22"/>
  <c r="H54" i="22"/>
  <c r="O54" i="22" s="1"/>
  <c r="G54" i="22"/>
  <c r="N54" i="22" s="1"/>
  <c r="F54" i="22"/>
  <c r="M54" i="22" s="1"/>
  <c r="E54" i="22"/>
  <c r="L54" i="22" s="1"/>
  <c r="D54" i="22"/>
  <c r="C54" i="22"/>
  <c r="H53" i="22"/>
  <c r="O53" i="22" s="1"/>
  <c r="G53" i="22"/>
  <c r="N53" i="22" s="1"/>
  <c r="F53" i="22"/>
  <c r="M53" i="22" s="1"/>
  <c r="E53" i="22"/>
  <c r="L53" i="22" s="1"/>
  <c r="D53" i="22"/>
  <c r="K53" i="22" s="1"/>
  <c r="C53" i="22"/>
  <c r="J53" i="22" s="1"/>
  <c r="K52" i="22"/>
  <c r="J52" i="22"/>
  <c r="H52" i="22"/>
  <c r="O52" i="22" s="1"/>
  <c r="G52" i="22"/>
  <c r="N52" i="22" s="1"/>
  <c r="F52" i="22"/>
  <c r="M52" i="22" s="1"/>
  <c r="E52" i="22"/>
  <c r="L52" i="22" s="1"/>
  <c r="D52" i="22"/>
  <c r="C52" i="22"/>
  <c r="N51" i="22"/>
  <c r="H51" i="22"/>
  <c r="O51" i="22" s="1"/>
  <c r="G51" i="22"/>
  <c r="F51" i="22"/>
  <c r="M51" i="22" s="1"/>
  <c r="E51" i="22"/>
  <c r="L51" i="22" s="1"/>
  <c r="D51" i="22"/>
  <c r="K51" i="22" s="1"/>
  <c r="C51" i="22"/>
  <c r="J51" i="22" s="1"/>
  <c r="K50" i="22"/>
  <c r="J50" i="22"/>
  <c r="H50" i="22"/>
  <c r="O50" i="22" s="1"/>
  <c r="G50" i="22"/>
  <c r="N50" i="22" s="1"/>
  <c r="F50" i="22"/>
  <c r="M50" i="22" s="1"/>
  <c r="E50" i="22"/>
  <c r="L50" i="22" s="1"/>
  <c r="D50" i="22"/>
  <c r="C50" i="22"/>
  <c r="N49" i="22"/>
  <c r="H49" i="22"/>
  <c r="O49" i="22" s="1"/>
  <c r="G49" i="22"/>
  <c r="F49" i="22"/>
  <c r="M49" i="22" s="1"/>
  <c r="E49" i="22"/>
  <c r="L49" i="22" s="1"/>
  <c r="D49" i="22"/>
  <c r="K49" i="22" s="1"/>
  <c r="C49" i="22"/>
  <c r="J49" i="22" s="1"/>
  <c r="K48" i="22"/>
  <c r="J48" i="22"/>
  <c r="H48" i="22"/>
  <c r="O48" i="22" s="1"/>
  <c r="G48" i="22"/>
  <c r="N48" i="22" s="1"/>
  <c r="F48" i="22"/>
  <c r="M48" i="22" s="1"/>
  <c r="E48" i="22"/>
  <c r="L48" i="22" s="1"/>
  <c r="D48" i="22"/>
  <c r="C48" i="22"/>
  <c r="H47" i="22"/>
  <c r="O47" i="22" s="1"/>
  <c r="G47" i="22"/>
  <c r="N47" i="22" s="1"/>
  <c r="F47" i="22"/>
  <c r="M47" i="22" s="1"/>
  <c r="E47" i="22"/>
  <c r="L47" i="22" s="1"/>
  <c r="D47" i="22"/>
  <c r="K47" i="22" s="1"/>
  <c r="C47" i="22"/>
  <c r="J47" i="22" s="1"/>
  <c r="K46" i="22"/>
  <c r="J46" i="22"/>
  <c r="H46" i="22"/>
  <c r="O46" i="22" s="1"/>
  <c r="G46" i="22"/>
  <c r="N46" i="22" s="1"/>
  <c r="F46" i="22"/>
  <c r="M46" i="22" s="1"/>
  <c r="E46" i="22"/>
  <c r="L46" i="22" s="1"/>
  <c r="D46" i="22"/>
  <c r="C46" i="22"/>
  <c r="H45" i="22"/>
  <c r="O45" i="22" s="1"/>
  <c r="G45" i="22"/>
  <c r="N45" i="22" s="1"/>
  <c r="F45" i="22"/>
  <c r="M45" i="22" s="1"/>
  <c r="E45" i="22"/>
  <c r="L45" i="22" s="1"/>
  <c r="D45" i="22"/>
  <c r="K45" i="22" s="1"/>
  <c r="C45" i="22"/>
  <c r="J45" i="22" s="1"/>
  <c r="K44" i="22"/>
  <c r="J44" i="22"/>
  <c r="H44" i="22"/>
  <c r="O44" i="22" s="1"/>
  <c r="G44" i="22"/>
  <c r="N44" i="22" s="1"/>
  <c r="F44" i="22"/>
  <c r="M44" i="22" s="1"/>
  <c r="E44" i="22"/>
  <c r="L44" i="22" s="1"/>
  <c r="D44" i="22"/>
  <c r="C44" i="22"/>
  <c r="N43" i="22"/>
  <c r="H43" i="22"/>
  <c r="O43" i="22" s="1"/>
  <c r="G43" i="22"/>
  <c r="F43" i="22"/>
  <c r="M43" i="22" s="1"/>
  <c r="E43" i="22"/>
  <c r="L43" i="22" s="1"/>
  <c r="D43" i="22"/>
  <c r="K43" i="22" s="1"/>
  <c r="C43" i="22"/>
  <c r="J43" i="22" s="1"/>
  <c r="K42" i="22"/>
  <c r="J42" i="22"/>
  <c r="H42" i="22"/>
  <c r="O42" i="22" s="1"/>
  <c r="G42" i="22"/>
  <c r="N42" i="22" s="1"/>
  <c r="F42" i="22"/>
  <c r="M42" i="22" s="1"/>
  <c r="E42" i="22"/>
  <c r="L42" i="22" s="1"/>
  <c r="D42" i="22"/>
  <c r="C42" i="22"/>
  <c r="N41" i="22"/>
  <c r="H41" i="22"/>
  <c r="O41" i="22" s="1"/>
  <c r="G41" i="22"/>
  <c r="F41" i="22"/>
  <c r="M41" i="22" s="1"/>
  <c r="E41" i="22"/>
  <c r="L41" i="22" s="1"/>
  <c r="D41" i="22"/>
  <c r="K41" i="22" s="1"/>
  <c r="C41" i="22"/>
  <c r="J41" i="22" s="1"/>
  <c r="K40" i="22"/>
  <c r="J40" i="22"/>
  <c r="H40" i="22"/>
  <c r="O40" i="22" s="1"/>
  <c r="G40" i="22"/>
  <c r="N40" i="22" s="1"/>
  <c r="F40" i="22"/>
  <c r="M40" i="22" s="1"/>
  <c r="E40" i="22"/>
  <c r="L40" i="22" s="1"/>
  <c r="D40" i="22"/>
  <c r="C40" i="22"/>
  <c r="H39" i="22"/>
  <c r="O39" i="22" s="1"/>
  <c r="G39" i="22"/>
  <c r="N39" i="22" s="1"/>
  <c r="F39" i="22"/>
  <c r="M39" i="22" s="1"/>
  <c r="E39" i="22"/>
  <c r="L39" i="22" s="1"/>
  <c r="D39" i="22"/>
  <c r="K39" i="22" s="1"/>
  <c r="C39" i="22"/>
  <c r="J39" i="22" s="1"/>
  <c r="K38" i="22"/>
  <c r="J38" i="22"/>
  <c r="H38" i="22"/>
  <c r="O38" i="22" s="1"/>
  <c r="G38" i="22"/>
  <c r="N38" i="22" s="1"/>
  <c r="F38" i="22"/>
  <c r="M38" i="22" s="1"/>
  <c r="E38" i="22"/>
  <c r="L38" i="22" s="1"/>
  <c r="D38" i="22"/>
  <c r="C38" i="22"/>
  <c r="H37" i="22"/>
  <c r="O37" i="22" s="1"/>
  <c r="G37" i="22"/>
  <c r="N37" i="22" s="1"/>
  <c r="F37" i="22"/>
  <c r="M37" i="22" s="1"/>
  <c r="E37" i="22"/>
  <c r="L37" i="22" s="1"/>
  <c r="D37" i="22"/>
  <c r="K37" i="22" s="1"/>
  <c r="C37" i="22"/>
  <c r="J37" i="22" s="1"/>
  <c r="K36" i="22"/>
  <c r="J36" i="22"/>
  <c r="H36" i="22"/>
  <c r="O36" i="22" s="1"/>
  <c r="G36" i="22"/>
  <c r="N36" i="22" s="1"/>
  <c r="F36" i="22"/>
  <c r="M36" i="22" s="1"/>
  <c r="E36" i="22"/>
  <c r="L36" i="22" s="1"/>
  <c r="D36" i="22"/>
  <c r="C36" i="22"/>
  <c r="N35" i="22"/>
  <c r="H35" i="22"/>
  <c r="O35" i="22" s="1"/>
  <c r="G35" i="22"/>
  <c r="F35" i="22"/>
  <c r="M35" i="22" s="1"/>
  <c r="E35" i="22"/>
  <c r="L35" i="22" s="1"/>
  <c r="D35" i="22"/>
  <c r="K35" i="22" s="1"/>
  <c r="C35" i="22"/>
  <c r="J35" i="22" s="1"/>
  <c r="K34" i="22"/>
  <c r="J34" i="22"/>
  <c r="H34" i="22"/>
  <c r="O34" i="22" s="1"/>
  <c r="G34" i="22"/>
  <c r="N34" i="22" s="1"/>
  <c r="F34" i="22"/>
  <c r="M34" i="22" s="1"/>
  <c r="E34" i="22"/>
  <c r="L34" i="22" s="1"/>
  <c r="D34" i="22"/>
  <c r="C34" i="22"/>
  <c r="N33" i="22"/>
  <c r="H33" i="22"/>
  <c r="O33" i="22" s="1"/>
  <c r="G33" i="22"/>
  <c r="F33" i="22"/>
  <c r="M33" i="22" s="1"/>
  <c r="E33" i="22"/>
  <c r="L33" i="22" s="1"/>
  <c r="D33" i="22"/>
  <c r="K33" i="22" s="1"/>
  <c r="C33" i="22"/>
  <c r="J33" i="22" s="1"/>
  <c r="K32" i="22"/>
  <c r="J32" i="22"/>
  <c r="H32" i="22"/>
  <c r="O32" i="22" s="1"/>
  <c r="G32" i="22"/>
  <c r="N32" i="22" s="1"/>
  <c r="F32" i="22"/>
  <c r="M32" i="22" s="1"/>
  <c r="E32" i="22"/>
  <c r="L32" i="22" s="1"/>
  <c r="D32" i="22"/>
  <c r="C32" i="22"/>
  <c r="H31" i="22"/>
  <c r="O31" i="22" s="1"/>
  <c r="G31" i="22"/>
  <c r="N31" i="22" s="1"/>
  <c r="F31" i="22"/>
  <c r="M31" i="22" s="1"/>
  <c r="E31" i="22"/>
  <c r="L31" i="22" s="1"/>
  <c r="D31" i="22"/>
  <c r="K31" i="22" s="1"/>
  <c r="C31" i="22"/>
  <c r="J31" i="22" s="1"/>
  <c r="K30" i="22"/>
  <c r="J30" i="22"/>
  <c r="H30" i="22"/>
  <c r="O30" i="22" s="1"/>
  <c r="G30" i="22"/>
  <c r="N30" i="22" s="1"/>
  <c r="F30" i="22"/>
  <c r="M30" i="22" s="1"/>
  <c r="E30" i="22"/>
  <c r="L30" i="22" s="1"/>
  <c r="D30" i="22"/>
  <c r="C30" i="22"/>
  <c r="H29" i="22"/>
  <c r="O29" i="22" s="1"/>
  <c r="G29" i="22"/>
  <c r="N29" i="22" s="1"/>
  <c r="F29" i="22"/>
  <c r="M29" i="22" s="1"/>
  <c r="E29" i="22"/>
  <c r="L29" i="22" s="1"/>
  <c r="D29" i="22"/>
  <c r="K29" i="22" s="1"/>
  <c r="C29" i="22"/>
  <c r="J29" i="22" s="1"/>
  <c r="K28" i="22"/>
  <c r="J28" i="22"/>
  <c r="H28" i="22"/>
  <c r="O28" i="22" s="1"/>
  <c r="G28" i="22"/>
  <c r="N28" i="22" s="1"/>
  <c r="F28" i="22"/>
  <c r="M28" i="22" s="1"/>
  <c r="E28" i="22"/>
  <c r="L28" i="22" s="1"/>
  <c r="D28" i="22"/>
  <c r="C28" i="22"/>
  <c r="O27" i="22"/>
  <c r="H27" i="22"/>
  <c r="G27" i="22"/>
  <c r="N27" i="22" s="1"/>
  <c r="F27" i="22"/>
  <c r="M27" i="22" s="1"/>
  <c r="E27" i="22"/>
  <c r="L27" i="22" s="1"/>
  <c r="D27" i="22"/>
  <c r="K27" i="22" s="1"/>
  <c r="C27" i="22"/>
  <c r="J27" i="22" s="1"/>
  <c r="K26" i="22"/>
  <c r="J26" i="22"/>
  <c r="H26" i="22"/>
  <c r="O26" i="22" s="1"/>
  <c r="G26" i="22"/>
  <c r="N26" i="22" s="1"/>
  <c r="F26" i="22"/>
  <c r="M26" i="22" s="1"/>
  <c r="E26" i="22"/>
  <c r="L26" i="22" s="1"/>
  <c r="D26" i="22"/>
  <c r="C26" i="22"/>
  <c r="O25" i="22"/>
  <c r="H25" i="22"/>
  <c r="G25" i="22"/>
  <c r="N25" i="22" s="1"/>
  <c r="F25" i="22"/>
  <c r="M25" i="22" s="1"/>
  <c r="E25" i="22"/>
  <c r="L25" i="22" s="1"/>
  <c r="D25" i="22"/>
  <c r="K25" i="22" s="1"/>
  <c r="C25" i="22"/>
  <c r="J25" i="22" s="1"/>
  <c r="K24" i="22"/>
  <c r="J24" i="22"/>
  <c r="H24" i="22"/>
  <c r="O24" i="22" s="1"/>
  <c r="G24" i="22"/>
  <c r="N24" i="22" s="1"/>
  <c r="F24" i="22"/>
  <c r="M24" i="22" s="1"/>
  <c r="E24" i="22"/>
  <c r="L24" i="22" s="1"/>
  <c r="D24" i="22"/>
  <c r="C24" i="22"/>
  <c r="O23" i="22"/>
  <c r="H23" i="22"/>
  <c r="G23" i="22"/>
  <c r="N23" i="22" s="1"/>
  <c r="F23" i="22"/>
  <c r="M23" i="22" s="1"/>
  <c r="E23" i="22"/>
  <c r="L23" i="22" s="1"/>
  <c r="D23" i="22"/>
  <c r="K23" i="22" s="1"/>
  <c r="C23" i="22"/>
  <c r="J23" i="22" s="1"/>
  <c r="K22" i="22"/>
  <c r="J22" i="22"/>
  <c r="H22" i="22"/>
  <c r="O22" i="22" s="1"/>
  <c r="G22" i="22"/>
  <c r="N22" i="22" s="1"/>
  <c r="F22" i="22"/>
  <c r="M22" i="22" s="1"/>
  <c r="E22" i="22"/>
  <c r="L22" i="22" s="1"/>
  <c r="D22" i="22"/>
  <c r="C22" i="22"/>
  <c r="O21" i="22"/>
  <c r="H21" i="22"/>
  <c r="G21" i="22"/>
  <c r="N21" i="22" s="1"/>
  <c r="F21" i="22"/>
  <c r="M21" i="22" s="1"/>
  <c r="E21" i="22"/>
  <c r="L21" i="22" s="1"/>
  <c r="D21" i="22"/>
  <c r="K21" i="22" s="1"/>
  <c r="C21" i="22"/>
  <c r="J21" i="22" s="1"/>
  <c r="K20" i="22"/>
  <c r="J20" i="22"/>
  <c r="H20" i="22"/>
  <c r="O20" i="22" s="1"/>
  <c r="G20" i="22"/>
  <c r="N20" i="22" s="1"/>
  <c r="F20" i="22"/>
  <c r="M20" i="22" s="1"/>
  <c r="E20" i="22"/>
  <c r="L20" i="22" s="1"/>
  <c r="D20" i="22"/>
  <c r="C20" i="22"/>
  <c r="O19" i="22"/>
  <c r="H19" i="22"/>
  <c r="G19" i="22"/>
  <c r="N19" i="22" s="1"/>
  <c r="F19" i="22"/>
  <c r="M19" i="22" s="1"/>
  <c r="E19" i="22"/>
  <c r="L19" i="22" s="1"/>
  <c r="D19" i="22"/>
  <c r="K19" i="22" s="1"/>
  <c r="C19" i="22"/>
  <c r="J19" i="22" s="1"/>
  <c r="K18" i="22"/>
  <c r="J18" i="22"/>
  <c r="H18" i="22"/>
  <c r="O18" i="22" s="1"/>
  <c r="G18" i="22"/>
  <c r="N18" i="22" s="1"/>
  <c r="F18" i="22"/>
  <c r="M18" i="22" s="1"/>
  <c r="E18" i="22"/>
  <c r="L18" i="22" s="1"/>
  <c r="D18" i="22"/>
  <c r="C18" i="22"/>
  <c r="O17" i="22"/>
  <c r="H17" i="22"/>
  <c r="G17" i="22"/>
  <c r="N17" i="22" s="1"/>
  <c r="F17" i="22"/>
  <c r="M17" i="22" s="1"/>
  <c r="E17" i="22"/>
  <c r="L17" i="22" s="1"/>
  <c r="D17" i="22"/>
  <c r="K17" i="22" s="1"/>
  <c r="C17" i="22"/>
  <c r="J17" i="22" s="1"/>
  <c r="K16" i="22"/>
  <c r="J16" i="22"/>
  <c r="H16" i="22"/>
  <c r="O16" i="22" s="1"/>
  <c r="G16" i="22"/>
  <c r="N16" i="22" s="1"/>
  <c r="F16" i="22"/>
  <c r="M16" i="22" s="1"/>
  <c r="E16" i="22"/>
  <c r="L16" i="22" s="1"/>
  <c r="D16" i="22"/>
  <c r="C16" i="22"/>
  <c r="O15" i="22"/>
  <c r="H15" i="22"/>
  <c r="G15" i="22"/>
  <c r="N15" i="22" s="1"/>
  <c r="F15" i="22"/>
  <c r="M15" i="22" s="1"/>
  <c r="E15" i="22"/>
  <c r="L15" i="22" s="1"/>
  <c r="D15" i="22"/>
  <c r="K15" i="22" s="1"/>
  <c r="C15" i="22"/>
  <c r="J15" i="22" s="1"/>
  <c r="K14" i="22"/>
  <c r="J14" i="22"/>
  <c r="H14" i="22"/>
  <c r="O14" i="22" s="1"/>
  <c r="G14" i="22"/>
  <c r="N14" i="22" s="1"/>
  <c r="F14" i="22"/>
  <c r="M14" i="22" s="1"/>
  <c r="E14" i="22"/>
  <c r="L14" i="22" s="1"/>
  <c r="D14" i="22"/>
  <c r="C14" i="22"/>
  <c r="O13" i="22"/>
  <c r="H13" i="22"/>
  <c r="G13" i="22"/>
  <c r="N13" i="22" s="1"/>
  <c r="F13" i="22"/>
  <c r="M13" i="22" s="1"/>
  <c r="E13" i="22"/>
  <c r="L13" i="22" s="1"/>
  <c r="D13" i="22"/>
  <c r="K13" i="22" s="1"/>
  <c r="C13" i="22"/>
  <c r="J13" i="22" s="1"/>
  <c r="K12" i="22"/>
  <c r="J12" i="22"/>
  <c r="H12" i="22"/>
  <c r="O12" i="22" s="1"/>
  <c r="G12" i="22"/>
  <c r="N12" i="22" s="1"/>
  <c r="F12" i="22"/>
  <c r="M12" i="22" s="1"/>
  <c r="E12" i="22"/>
  <c r="L12" i="22" s="1"/>
  <c r="D12" i="22"/>
  <c r="C12" i="22"/>
  <c r="O11" i="22"/>
  <c r="H11" i="22"/>
  <c r="G11" i="22"/>
  <c r="N11" i="22" s="1"/>
  <c r="F11" i="22"/>
  <c r="M11" i="22" s="1"/>
  <c r="E11" i="22"/>
  <c r="L11" i="22" s="1"/>
  <c r="D11" i="22"/>
  <c r="K11" i="22" s="1"/>
  <c r="C11" i="22"/>
  <c r="J11" i="22" s="1"/>
  <c r="K10" i="22"/>
  <c r="J10" i="22"/>
  <c r="H10" i="22"/>
  <c r="O10" i="22" s="1"/>
  <c r="G10" i="22"/>
  <c r="N10" i="22" s="1"/>
  <c r="F10" i="22"/>
  <c r="M10" i="22" s="1"/>
  <c r="E10" i="22"/>
  <c r="L10" i="22" s="1"/>
  <c r="D10" i="22"/>
  <c r="C10" i="22"/>
  <c r="O9" i="22"/>
  <c r="H9" i="22"/>
  <c r="G9" i="22"/>
  <c r="N9" i="22" s="1"/>
  <c r="F9" i="22"/>
  <c r="M9" i="22" s="1"/>
  <c r="E9" i="22"/>
  <c r="L9" i="22" s="1"/>
  <c r="D9" i="22"/>
  <c r="K9" i="22" s="1"/>
  <c r="C9" i="22"/>
  <c r="J9" i="22" s="1"/>
  <c r="K8" i="22"/>
  <c r="J8" i="22"/>
  <c r="H8" i="22"/>
  <c r="O8" i="22" s="1"/>
  <c r="G8" i="22"/>
  <c r="N8" i="22" s="1"/>
  <c r="F8" i="22"/>
  <c r="M8" i="22" s="1"/>
  <c r="E8" i="22"/>
  <c r="L8" i="22" s="1"/>
  <c r="D8" i="22"/>
  <c r="C8" i="22"/>
  <c r="O7" i="22"/>
  <c r="H7" i="22"/>
  <c r="G7" i="22"/>
  <c r="N7" i="22" s="1"/>
  <c r="F7" i="22"/>
  <c r="M7" i="22" s="1"/>
  <c r="E7" i="22"/>
  <c r="L7" i="22" s="1"/>
  <c r="D7" i="22"/>
  <c r="K7" i="22" s="1"/>
  <c r="C7" i="22"/>
  <c r="J7" i="22" s="1"/>
  <c r="K6" i="22"/>
  <c r="J6" i="22"/>
  <c r="H6" i="22"/>
  <c r="O6" i="22" s="1"/>
  <c r="G6" i="22"/>
  <c r="N6" i="22" s="1"/>
  <c r="F6" i="22"/>
  <c r="M6" i="22" s="1"/>
  <c r="E6" i="22"/>
  <c r="L6" i="22" s="1"/>
  <c r="D6" i="22"/>
  <c r="C6" i="22"/>
  <c r="O5" i="22"/>
  <c r="H5" i="22"/>
  <c r="G5" i="22"/>
  <c r="N5" i="22" s="1"/>
  <c r="F5" i="22"/>
  <c r="M5" i="22" s="1"/>
  <c r="E5" i="22"/>
  <c r="L5" i="22" s="1"/>
  <c r="D5" i="22"/>
  <c r="K5" i="22" s="1"/>
  <c r="C5" i="22"/>
  <c r="J5" i="22" s="1"/>
  <c r="K4" i="22"/>
  <c r="J4" i="22"/>
  <c r="H4" i="22"/>
  <c r="O4" i="22" s="1"/>
  <c r="G4" i="22"/>
  <c r="N4" i="22" s="1"/>
  <c r="F4" i="22"/>
  <c r="M4" i="22" s="1"/>
  <c r="E4" i="22"/>
  <c r="L4" i="22" s="1"/>
  <c r="D4" i="22"/>
  <c r="C4" i="22"/>
  <c r="O3" i="22"/>
  <c r="H3" i="22"/>
  <c r="G3" i="22"/>
  <c r="N3" i="22" s="1"/>
  <c r="F3" i="22"/>
  <c r="M3" i="22" s="1"/>
  <c r="E3" i="22"/>
  <c r="L3" i="22" s="1"/>
  <c r="D3" i="22"/>
  <c r="K3" i="22" s="1"/>
  <c r="C3" i="22"/>
  <c r="J3" i="22" s="1"/>
  <c r="G37" i="7"/>
  <c r="F37" i="7"/>
  <c r="E37" i="7"/>
  <c r="D37" i="7"/>
  <c r="C37" i="7"/>
  <c r="G36" i="7"/>
  <c r="F36" i="7"/>
  <c r="E36" i="7"/>
  <c r="D36" i="7"/>
  <c r="C36" i="7"/>
  <c r="G35" i="7"/>
  <c r="F35" i="7"/>
  <c r="E35" i="7"/>
  <c r="D35" i="7"/>
  <c r="C35" i="7"/>
  <c r="G34" i="7"/>
  <c r="F34" i="7"/>
  <c r="E34" i="7"/>
  <c r="D34" i="7"/>
  <c r="C34" i="7"/>
  <c r="G33" i="7"/>
  <c r="F33" i="7"/>
  <c r="E33" i="7"/>
  <c r="D33" i="7"/>
  <c r="C33" i="7"/>
  <c r="G32" i="7"/>
  <c r="F32" i="7"/>
  <c r="E32" i="7"/>
  <c r="D32" i="7"/>
  <c r="C32" i="7"/>
  <c r="G31" i="7"/>
  <c r="F31" i="7"/>
  <c r="E31" i="7"/>
  <c r="D31" i="7"/>
  <c r="C31" i="7"/>
  <c r="G30" i="7"/>
  <c r="F30" i="7"/>
  <c r="E30" i="7"/>
  <c r="D30" i="7"/>
  <c r="C30" i="7"/>
  <c r="G29" i="7"/>
  <c r="F29" i="7"/>
  <c r="E29" i="7"/>
  <c r="D29" i="7"/>
  <c r="C29" i="7"/>
  <c r="G28" i="7"/>
  <c r="F28" i="7"/>
  <c r="E28" i="7"/>
  <c r="D28" i="7"/>
  <c r="C28" i="7"/>
  <c r="G27" i="7"/>
  <c r="F27" i="7"/>
  <c r="E27" i="7"/>
  <c r="D27" i="7"/>
  <c r="C27" i="7"/>
  <c r="G26" i="7"/>
  <c r="F26" i="7"/>
  <c r="E26" i="7"/>
  <c r="D26" i="7"/>
  <c r="C26" i="7"/>
  <c r="G25" i="7"/>
  <c r="F25" i="7"/>
  <c r="E25" i="7"/>
  <c r="D25" i="7"/>
  <c r="C25" i="7"/>
  <c r="G24" i="7"/>
  <c r="F24" i="7"/>
  <c r="E24" i="7"/>
  <c r="D24" i="7"/>
  <c r="C24" i="7"/>
  <c r="G23" i="7"/>
  <c r="F23" i="7"/>
  <c r="E23" i="7"/>
  <c r="D23" i="7"/>
  <c r="C23" i="7"/>
  <c r="G22" i="7"/>
  <c r="F22" i="7"/>
  <c r="E22" i="7"/>
  <c r="D22" i="7"/>
  <c r="C22" i="7"/>
  <c r="G21" i="7"/>
  <c r="F21" i="7"/>
  <c r="E21" i="7"/>
  <c r="D21" i="7"/>
  <c r="C21" i="7"/>
  <c r="G20" i="7"/>
  <c r="F20" i="7"/>
  <c r="E20" i="7"/>
  <c r="D20" i="7"/>
  <c r="C20" i="7"/>
  <c r="G19" i="7"/>
  <c r="F19" i="7"/>
  <c r="E19" i="7"/>
  <c r="D19" i="7"/>
  <c r="C19" i="7"/>
  <c r="G18" i="7"/>
  <c r="F18" i="7"/>
  <c r="E18" i="7"/>
  <c r="D18" i="7"/>
  <c r="C18" i="7"/>
  <c r="G17" i="7"/>
  <c r="F17" i="7"/>
  <c r="E17" i="7"/>
  <c r="D17" i="7"/>
  <c r="C17" i="7"/>
  <c r="G16" i="7"/>
  <c r="F16" i="7"/>
  <c r="E16" i="7"/>
  <c r="D16" i="7"/>
  <c r="C16" i="7"/>
  <c r="G15" i="7"/>
  <c r="F15" i="7"/>
  <c r="E15" i="7"/>
  <c r="D15" i="7"/>
  <c r="C15" i="7"/>
  <c r="G14" i="7"/>
  <c r="F14" i="7"/>
  <c r="E14" i="7"/>
  <c r="D14" i="7"/>
  <c r="C14" i="7"/>
  <c r="G13" i="7"/>
  <c r="F13" i="7"/>
  <c r="E13" i="7"/>
  <c r="D13" i="7"/>
  <c r="C13" i="7"/>
  <c r="G12" i="7"/>
  <c r="F12" i="7"/>
  <c r="E12" i="7"/>
  <c r="D12" i="7"/>
  <c r="C12" i="7"/>
  <c r="G11" i="7"/>
  <c r="F11" i="7"/>
  <c r="E11" i="7"/>
  <c r="D11" i="7"/>
  <c r="C11" i="7"/>
  <c r="G10" i="7"/>
  <c r="F10" i="7"/>
  <c r="E10" i="7"/>
  <c r="D10" i="7"/>
  <c r="C10" i="7"/>
  <c r="G9" i="7"/>
  <c r="F9" i="7"/>
  <c r="E9" i="7"/>
  <c r="D9" i="7"/>
  <c r="C9" i="7"/>
  <c r="G8" i="7"/>
  <c r="F8" i="7"/>
  <c r="E8" i="7"/>
  <c r="D8" i="7"/>
  <c r="C8" i="7"/>
  <c r="G7" i="7"/>
  <c r="F7" i="7"/>
  <c r="E7" i="7"/>
  <c r="D7" i="7"/>
  <c r="C7" i="7"/>
  <c r="G6" i="7"/>
  <c r="F6" i="7"/>
  <c r="E6" i="7"/>
  <c r="D6" i="7"/>
  <c r="C6" i="7"/>
  <c r="G5" i="7"/>
  <c r="F5" i="7"/>
  <c r="E5" i="7"/>
  <c r="D5" i="7"/>
  <c r="C5" i="7"/>
  <c r="G4" i="7"/>
  <c r="F4" i="7"/>
  <c r="E4" i="7"/>
  <c r="D4" i="7"/>
  <c r="C4" i="7"/>
  <c r="G3" i="7"/>
  <c r="F3" i="7"/>
  <c r="E3" i="7"/>
  <c r="D3" i="7"/>
  <c r="C3" i="7"/>
  <c r="M27" i="1"/>
  <c r="L27" i="1"/>
  <c r="K27" i="1"/>
  <c r="J27" i="1"/>
  <c r="I27" i="1"/>
  <c r="F27" i="1"/>
  <c r="E27" i="1"/>
  <c r="D27" i="1"/>
  <c r="C27" i="1"/>
  <c r="B27" i="1"/>
  <c r="M26" i="1"/>
  <c r="L26" i="1"/>
  <c r="K26" i="1"/>
  <c r="J26" i="1"/>
  <c r="I26" i="1"/>
  <c r="F26" i="1"/>
  <c r="E26" i="1"/>
  <c r="D26" i="1"/>
  <c r="C26" i="1"/>
  <c r="B26" i="1"/>
  <c r="M25" i="1"/>
  <c r="L25" i="1"/>
  <c r="K25" i="1"/>
  <c r="J25" i="1"/>
  <c r="I25" i="1"/>
  <c r="F25" i="1"/>
  <c r="E25" i="1"/>
  <c r="D25" i="1"/>
  <c r="C25" i="1"/>
  <c r="B25" i="1"/>
  <c r="M24" i="1"/>
  <c r="L24" i="1"/>
  <c r="K24" i="1"/>
  <c r="J24" i="1"/>
  <c r="I24" i="1"/>
  <c r="F24" i="1"/>
  <c r="E24" i="1"/>
  <c r="D24" i="1"/>
  <c r="C24" i="1"/>
  <c r="B24" i="1"/>
  <c r="M23" i="1"/>
  <c r="L23" i="1"/>
  <c r="K23" i="1"/>
  <c r="J23" i="1"/>
  <c r="I23" i="1"/>
  <c r="F23" i="1"/>
  <c r="E23" i="1"/>
  <c r="D23" i="1"/>
  <c r="C23" i="1"/>
  <c r="B23" i="1"/>
  <c r="M22" i="1"/>
  <c r="L22" i="1"/>
  <c r="K22" i="1"/>
  <c r="J22" i="1"/>
  <c r="I22" i="1"/>
  <c r="F22" i="1"/>
  <c r="E22" i="1"/>
  <c r="D22" i="1"/>
  <c r="C22" i="1"/>
  <c r="B22" i="1"/>
  <c r="M21" i="1"/>
  <c r="L21" i="1"/>
  <c r="K21" i="1"/>
  <c r="J21" i="1"/>
  <c r="I21" i="1"/>
  <c r="F21" i="1"/>
  <c r="E21" i="1"/>
  <c r="D21" i="1"/>
  <c r="C21" i="1"/>
  <c r="B21" i="1"/>
  <c r="T18" i="1"/>
  <c r="S18" i="1"/>
  <c r="R18" i="1"/>
  <c r="Q18" i="1"/>
  <c r="P18" i="1"/>
  <c r="M18" i="1"/>
  <c r="L18" i="1"/>
  <c r="S27" i="1" s="1"/>
  <c r="K18" i="1"/>
  <c r="J18" i="1"/>
  <c r="I18" i="1"/>
  <c r="F18" i="1"/>
  <c r="T27" i="1" s="1"/>
  <c r="E18" i="1"/>
  <c r="D18" i="1"/>
  <c r="C18" i="1"/>
  <c r="B18" i="1"/>
  <c r="P27" i="1" s="1"/>
  <c r="T17" i="1"/>
  <c r="S17" i="1"/>
  <c r="R17" i="1"/>
  <c r="Q17" i="1"/>
  <c r="P17" i="1"/>
  <c r="M17" i="1"/>
  <c r="L17" i="1"/>
  <c r="K17" i="1"/>
  <c r="R26" i="1" s="1"/>
  <c r="J17" i="1"/>
  <c r="I17" i="1"/>
  <c r="F17" i="1"/>
  <c r="E17" i="1"/>
  <c r="S26" i="1" s="1"/>
  <c r="D17" i="1"/>
  <c r="C17" i="1"/>
  <c r="B17" i="1"/>
  <c r="T16" i="1"/>
  <c r="S16" i="1"/>
  <c r="R16" i="1"/>
  <c r="Q16" i="1"/>
  <c r="P16" i="1"/>
  <c r="M16" i="1"/>
  <c r="L16" i="1"/>
  <c r="K16" i="1"/>
  <c r="J16" i="1"/>
  <c r="Q25" i="1" s="1"/>
  <c r="I16" i="1"/>
  <c r="F16" i="1"/>
  <c r="E16" i="1"/>
  <c r="D16" i="1"/>
  <c r="R25" i="1" s="1"/>
  <c r="C16" i="1"/>
  <c r="B16" i="1"/>
  <c r="T15" i="1"/>
  <c r="S15" i="1"/>
  <c r="R15" i="1"/>
  <c r="Q15" i="1"/>
  <c r="P15" i="1"/>
  <c r="M15" i="1"/>
  <c r="L15" i="1"/>
  <c r="K15" i="1"/>
  <c r="J15" i="1"/>
  <c r="I15" i="1"/>
  <c r="F15" i="1"/>
  <c r="T24" i="1" s="1"/>
  <c r="E15" i="1"/>
  <c r="D15" i="1"/>
  <c r="C15" i="1"/>
  <c r="Q24" i="1" s="1"/>
  <c r="B15" i="1"/>
  <c r="T14" i="1"/>
  <c r="S14" i="1"/>
  <c r="R14" i="1"/>
  <c r="Q14" i="1"/>
  <c r="P14" i="1"/>
  <c r="M14" i="1"/>
  <c r="L14" i="1"/>
  <c r="K14" i="1"/>
  <c r="J14" i="1"/>
  <c r="I14" i="1"/>
  <c r="F14" i="1"/>
  <c r="T23" i="1" s="1"/>
  <c r="E14" i="1"/>
  <c r="S23" i="1" s="1"/>
  <c r="D14" i="1"/>
  <c r="C14" i="1"/>
  <c r="B14" i="1"/>
  <c r="P23" i="1" s="1"/>
  <c r="T13" i="1"/>
  <c r="S13" i="1"/>
  <c r="R13" i="1"/>
  <c r="Q13" i="1"/>
  <c r="P13" i="1"/>
  <c r="M13" i="1"/>
  <c r="L13" i="1"/>
  <c r="K13" i="1"/>
  <c r="R22" i="1" s="1"/>
  <c r="J13" i="1"/>
  <c r="I13" i="1"/>
  <c r="F13" i="1"/>
  <c r="E13" i="1"/>
  <c r="S22" i="1" s="1"/>
  <c r="D13" i="1"/>
  <c r="C13" i="1"/>
  <c r="B13" i="1"/>
  <c r="T12" i="1"/>
  <c r="S12" i="1"/>
  <c r="R12" i="1"/>
  <c r="Q12" i="1"/>
  <c r="P12" i="1"/>
  <c r="M12" i="1"/>
  <c r="L12" i="1"/>
  <c r="K12" i="1"/>
  <c r="J12" i="1"/>
  <c r="Q21" i="1" s="1"/>
  <c r="I12" i="1"/>
  <c r="F12" i="1"/>
  <c r="E12" i="1"/>
  <c r="D12" i="1"/>
  <c r="R21" i="1" s="1"/>
  <c r="C12" i="1"/>
  <c r="B12" i="1"/>
  <c r="M27" i="4"/>
  <c r="L27" i="4"/>
  <c r="K27" i="4"/>
  <c r="J27" i="4"/>
  <c r="I27" i="4"/>
  <c r="F27" i="4"/>
  <c r="E27" i="4"/>
  <c r="D27" i="4"/>
  <c r="C27" i="4"/>
  <c r="B27" i="4"/>
  <c r="M26" i="4"/>
  <c r="L26" i="4"/>
  <c r="K26" i="4"/>
  <c r="J26" i="4"/>
  <c r="I26" i="4"/>
  <c r="F26" i="4"/>
  <c r="E26" i="4"/>
  <c r="D26" i="4"/>
  <c r="C26" i="4"/>
  <c r="B26" i="4"/>
  <c r="M25" i="4"/>
  <c r="L25" i="4"/>
  <c r="K25" i="4"/>
  <c r="J25" i="4"/>
  <c r="I25" i="4"/>
  <c r="F25" i="4"/>
  <c r="E25" i="4"/>
  <c r="D25" i="4"/>
  <c r="C25" i="4"/>
  <c r="B25" i="4"/>
  <c r="M24" i="4"/>
  <c r="L24" i="4"/>
  <c r="K24" i="4"/>
  <c r="J24" i="4"/>
  <c r="I24" i="4"/>
  <c r="F24" i="4"/>
  <c r="E24" i="4"/>
  <c r="D24" i="4"/>
  <c r="C24" i="4"/>
  <c r="B24" i="4"/>
  <c r="M23" i="4"/>
  <c r="L23" i="4"/>
  <c r="K23" i="4"/>
  <c r="J23" i="4"/>
  <c r="Q23" i="4" s="1"/>
  <c r="I23" i="4"/>
  <c r="F23" i="4"/>
  <c r="E23" i="4"/>
  <c r="D23" i="4"/>
  <c r="C23" i="4"/>
  <c r="B23" i="4"/>
  <c r="P22" i="4"/>
  <c r="M22" i="4"/>
  <c r="L22" i="4"/>
  <c r="K22" i="4"/>
  <c r="J22" i="4"/>
  <c r="I22" i="4"/>
  <c r="F22" i="4"/>
  <c r="E22" i="4"/>
  <c r="D22" i="4"/>
  <c r="C22" i="4"/>
  <c r="B22" i="4"/>
  <c r="M21" i="4"/>
  <c r="L21" i="4"/>
  <c r="K21" i="4"/>
  <c r="J21" i="4"/>
  <c r="I21" i="4"/>
  <c r="F21" i="4"/>
  <c r="E21" i="4"/>
  <c r="D21" i="4"/>
  <c r="C21" i="4"/>
  <c r="B21" i="4"/>
  <c r="T18" i="4"/>
  <c r="S18" i="4"/>
  <c r="R18" i="4"/>
  <c r="Q18" i="4"/>
  <c r="P18" i="4"/>
  <c r="M18" i="4"/>
  <c r="L18" i="4"/>
  <c r="S27" i="4" s="1"/>
  <c r="K18" i="4"/>
  <c r="J18" i="4"/>
  <c r="I18" i="4"/>
  <c r="F18" i="4"/>
  <c r="T27" i="4" s="1"/>
  <c r="E18" i="4"/>
  <c r="D18" i="4"/>
  <c r="C18" i="4"/>
  <c r="Q27" i="4" s="1"/>
  <c r="B18" i="4"/>
  <c r="P27" i="4" s="1"/>
  <c r="T17" i="4"/>
  <c r="S17" i="4"/>
  <c r="R17" i="4"/>
  <c r="Q17" i="4"/>
  <c r="P17" i="4"/>
  <c r="M17" i="4"/>
  <c r="L17" i="4"/>
  <c r="K17" i="4"/>
  <c r="R26" i="4" s="1"/>
  <c r="J17" i="4"/>
  <c r="I17" i="4"/>
  <c r="F17" i="4"/>
  <c r="T26" i="4" s="1"/>
  <c r="E17" i="4"/>
  <c r="S26" i="4" s="1"/>
  <c r="D17" i="4"/>
  <c r="C17" i="4"/>
  <c r="B17" i="4"/>
  <c r="P26" i="4" s="1"/>
  <c r="T16" i="4"/>
  <c r="S16" i="4"/>
  <c r="R16" i="4"/>
  <c r="Q16" i="4"/>
  <c r="P16" i="4"/>
  <c r="M16" i="4"/>
  <c r="L16" i="4"/>
  <c r="K16" i="4"/>
  <c r="J16" i="4"/>
  <c r="Q25" i="4" s="1"/>
  <c r="I16" i="4"/>
  <c r="F16" i="4"/>
  <c r="E16" i="4"/>
  <c r="S25" i="4" s="1"/>
  <c r="D16" i="4"/>
  <c r="R25" i="4" s="1"/>
  <c r="C16" i="4"/>
  <c r="B16" i="4"/>
  <c r="T15" i="4"/>
  <c r="S15" i="4"/>
  <c r="R15" i="4"/>
  <c r="Q15" i="4"/>
  <c r="P15" i="4"/>
  <c r="M15" i="4"/>
  <c r="T24" i="4" s="1"/>
  <c r="L15" i="4"/>
  <c r="K15" i="4"/>
  <c r="J15" i="4"/>
  <c r="I15" i="4"/>
  <c r="P24" i="4" s="1"/>
  <c r="F15" i="4"/>
  <c r="E15" i="4"/>
  <c r="D15" i="4"/>
  <c r="C15" i="4"/>
  <c r="Q24" i="4" s="1"/>
  <c r="B15" i="4"/>
  <c r="T14" i="4"/>
  <c r="S14" i="4"/>
  <c r="R14" i="4"/>
  <c r="Q14" i="4"/>
  <c r="P14" i="4"/>
  <c r="M14" i="4"/>
  <c r="L14" i="4"/>
  <c r="S23" i="4" s="1"/>
  <c r="K14" i="4"/>
  <c r="J14" i="4"/>
  <c r="I14" i="4"/>
  <c r="F14" i="4"/>
  <c r="T23" i="4" s="1"/>
  <c r="E14" i="4"/>
  <c r="D14" i="4"/>
  <c r="C14" i="4"/>
  <c r="B14" i="4"/>
  <c r="P23" i="4" s="1"/>
  <c r="T13" i="4"/>
  <c r="S13" i="4"/>
  <c r="R13" i="4"/>
  <c r="Q13" i="4"/>
  <c r="P13" i="4"/>
  <c r="M13" i="4"/>
  <c r="L13" i="4"/>
  <c r="K13" i="4"/>
  <c r="R22" i="4" s="1"/>
  <c r="J13" i="4"/>
  <c r="I13" i="4"/>
  <c r="F13" i="4"/>
  <c r="T22" i="4" s="1"/>
  <c r="E13" i="4"/>
  <c r="S22" i="4" s="1"/>
  <c r="D13" i="4"/>
  <c r="C13" i="4"/>
  <c r="B13" i="4"/>
  <c r="T12" i="4"/>
  <c r="S12" i="4"/>
  <c r="R12" i="4"/>
  <c r="Q12" i="4"/>
  <c r="P12" i="4"/>
  <c r="M12" i="4"/>
  <c r="L12" i="4"/>
  <c r="K12" i="4"/>
  <c r="J12" i="4"/>
  <c r="Q21" i="4" s="1"/>
  <c r="I12" i="4"/>
  <c r="F12" i="4"/>
  <c r="E12" i="4"/>
  <c r="S21" i="4" s="1"/>
  <c r="D12" i="4"/>
  <c r="R21" i="4" s="1"/>
  <c r="C12" i="4"/>
  <c r="B12" i="4"/>
  <c r="F32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O9" i="2"/>
  <c r="X8" i="2"/>
  <c r="L8" i="2"/>
  <c r="L9" i="2" s="1"/>
  <c r="J8" i="2"/>
  <c r="J9" i="2" s="1"/>
  <c r="X7" i="2"/>
  <c r="O7" i="2"/>
  <c r="O8" i="2" s="1"/>
  <c r="N7" i="2"/>
  <c r="N8" i="2" s="1"/>
  <c r="N9" i="2" s="1"/>
  <c r="M7" i="2"/>
  <c r="M8" i="2" s="1"/>
  <c r="M9" i="2" s="1"/>
  <c r="L7" i="2"/>
  <c r="K7" i="2"/>
  <c r="K8" i="2" s="1"/>
  <c r="J7" i="2"/>
  <c r="X6" i="2"/>
  <c r="X5" i="2"/>
  <c r="X4" i="2"/>
  <c r="U28" i="15"/>
  <c r="T28" i="15"/>
  <c r="S28" i="15"/>
  <c r="R28" i="15"/>
  <c r="Q28" i="15"/>
  <c r="P28" i="15"/>
  <c r="U27" i="15"/>
  <c r="T27" i="15"/>
  <c r="S27" i="15"/>
  <c r="R27" i="15"/>
  <c r="Q27" i="15"/>
  <c r="P27" i="15"/>
  <c r="U26" i="15"/>
  <c r="T26" i="15"/>
  <c r="S26" i="15"/>
  <c r="R26" i="15"/>
  <c r="Q26" i="15"/>
  <c r="P26" i="15"/>
  <c r="U25" i="15"/>
  <c r="T25" i="15"/>
  <c r="S25" i="15"/>
  <c r="R25" i="15"/>
  <c r="Q25" i="15"/>
  <c r="P25" i="15"/>
  <c r="U24" i="15"/>
  <c r="T24" i="15"/>
  <c r="S24" i="15"/>
  <c r="R24" i="15"/>
  <c r="Q24" i="15"/>
  <c r="P24" i="15"/>
  <c r="U23" i="15"/>
  <c r="T23" i="15"/>
  <c r="S23" i="15"/>
  <c r="R23" i="15"/>
  <c r="Q23" i="15"/>
  <c r="P23" i="15"/>
  <c r="U22" i="15"/>
  <c r="T22" i="15"/>
  <c r="S22" i="15"/>
  <c r="R22" i="15"/>
  <c r="Q22" i="15"/>
  <c r="P22" i="15"/>
  <c r="U21" i="15"/>
  <c r="T21" i="15"/>
  <c r="S21" i="15"/>
  <c r="R21" i="15"/>
  <c r="Q21" i="15"/>
  <c r="P21" i="15"/>
  <c r="U20" i="15"/>
  <c r="T20" i="15"/>
  <c r="S20" i="15"/>
  <c r="R20" i="15"/>
  <c r="Q20" i="15"/>
  <c r="P20" i="15"/>
  <c r="U19" i="15"/>
  <c r="T19" i="15"/>
  <c r="S19" i="15"/>
  <c r="R19" i="15"/>
  <c r="Q19" i="15"/>
  <c r="P19" i="15"/>
  <c r="U18" i="15"/>
  <c r="T18" i="15"/>
  <c r="S18" i="15"/>
  <c r="R18" i="15"/>
  <c r="Q18" i="15"/>
  <c r="P18" i="15"/>
  <c r="U17" i="15"/>
  <c r="T17" i="15"/>
  <c r="S17" i="15"/>
  <c r="R17" i="15"/>
  <c r="Q17" i="15"/>
  <c r="P17" i="15"/>
  <c r="U16" i="15"/>
  <c r="T16" i="15"/>
  <c r="S16" i="15"/>
  <c r="R16" i="15"/>
  <c r="Q16" i="15"/>
  <c r="P16" i="15"/>
  <c r="U15" i="15"/>
  <c r="T15" i="15"/>
  <c r="S15" i="15"/>
  <c r="R15" i="15"/>
  <c r="Q15" i="15"/>
  <c r="P15" i="15"/>
  <c r="U14" i="15"/>
  <c r="T14" i="15"/>
  <c r="S14" i="15"/>
  <c r="R14" i="15"/>
  <c r="Q14" i="15"/>
  <c r="P14" i="15"/>
  <c r="U13" i="15"/>
  <c r="T13" i="15"/>
  <c r="S13" i="15"/>
  <c r="R13" i="15"/>
  <c r="Q13" i="15"/>
  <c r="P13" i="15"/>
  <c r="U12" i="15"/>
  <c r="T12" i="15"/>
  <c r="S12" i="15"/>
  <c r="R12" i="15"/>
  <c r="Q12" i="15"/>
  <c r="P12" i="15"/>
  <c r="U11" i="15"/>
  <c r="T11" i="15"/>
  <c r="S11" i="15"/>
  <c r="R11" i="15"/>
  <c r="Q11" i="15"/>
  <c r="P11" i="15"/>
  <c r="U10" i="15"/>
  <c r="T10" i="15"/>
  <c r="S10" i="15"/>
  <c r="R10" i="15"/>
  <c r="Q10" i="15"/>
  <c r="P10" i="15"/>
  <c r="K10" i="15"/>
  <c r="K14" i="15" s="1"/>
  <c r="J10" i="15"/>
  <c r="J14" i="15" s="1"/>
  <c r="U9" i="15"/>
  <c r="T9" i="15"/>
  <c r="S9" i="15"/>
  <c r="R9" i="15"/>
  <c r="Q9" i="15"/>
  <c r="P9" i="15"/>
  <c r="K9" i="15"/>
  <c r="K13" i="15" s="1"/>
  <c r="J9" i="15"/>
  <c r="J13" i="15" s="1"/>
  <c r="U8" i="15"/>
  <c r="T8" i="15"/>
  <c r="S8" i="15"/>
  <c r="R8" i="15"/>
  <c r="Q8" i="15"/>
  <c r="P8" i="15"/>
  <c r="U7" i="15"/>
  <c r="T7" i="15"/>
  <c r="S7" i="15"/>
  <c r="R7" i="15"/>
  <c r="Q7" i="15"/>
  <c r="P7" i="15"/>
  <c r="U6" i="15"/>
  <c r="T6" i="15"/>
  <c r="S6" i="15"/>
  <c r="R6" i="15"/>
  <c r="Q6" i="15"/>
  <c r="P6" i="15"/>
  <c r="U5" i="15"/>
  <c r="T5" i="15"/>
  <c r="S5" i="15"/>
  <c r="R5" i="15"/>
  <c r="Q5" i="15"/>
  <c r="P5" i="15"/>
  <c r="U4" i="15"/>
  <c r="T4" i="15"/>
  <c r="S4" i="15"/>
  <c r="R4" i="15"/>
  <c r="Q4" i="15"/>
  <c r="P4" i="15"/>
  <c r="U3" i="15"/>
  <c r="T3" i="15"/>
  <c r="S3" i="15"/>
  <c r="R3" i="15"/>
  <c r="Q3" i="15"/>
  <c r="P3" i="15"/>
  <c r="M27" i="26"/>
  <c r="L27" i="26"/>
  <c r="K27" i="26"/>
  <c r="J27" i="26"/>
  <c r="I27" i="26"/>
  <c r="F27" i="26"/>
  <c r="E27" i="26"/>
  <c r="D27" i="26"/>
  <c r="C27" i="26"/>
  <c r="B27" i="26"/>
  <c r="M26" i="26"/>
  <c r="L26" i="26"/>
  <c r="K26" i="26"/>
  <c r="J26" i="26"/>
  <c r="I26" i="26"/>
  <c r="F26" i="26"/>
  <c r="E26" i="26"/>
  <c r="D26" i="26"/>
  <c r="C26" i="26"/>
  <c r="B26" i="26"/>
  <c r="M25" i="26"/>
  <c r="L25" i="26"/>
  <c r="K25" i="26"/>
  <c r="J25" i="26"/>
  <c r="I25" i="26"/>
  <c r="F25" i="26"/>
  <c r="E25" i="26"/>
  <c r="D25" i="26"/>
  <c r="C25" i="26"/>
  <c r="B25" i="26"/>
  <c r="M24" i="26"/>
  <c r="L24" i="26"/>
  <c r="J24" i="26"/>
  <c r="I24" i="26"/>
  <c r="F24" i="26"/>
  <c r="E24" i="26"/>
  <c r="D24" i="26"/>
  <c r="C24" i="26"/>
  <c r="B24" i="26"/>
  <c r="M23" i="26"/>
  <c r="L23" i="26"/>
  <c r="K23" i="26"/>
  <c r="J23" i="26"/>
  <c r="I23" i="26"/>
  <c r="F23" i="26"/>
  <c r="E23" i="26"/>
  <c r="D23" i="26"/>
  <c r="C23" i="26"/>
  <c r="B23" i="26"/>
  <c r="M22" i="26"/>
  <c r="L22" i="26"/>
  <c r="K22" i="26"/>
  <c r="J22" i="26"/>
  <c r="I22" i="26"/>
  <c r="F22" i="26"/>
  <c r="E22" i="26"/>
  <c r="D22" i="26"/>
  <c r="C22" i="26"/>
  <c r="B22" i="26"/>
  <c r="M21" i="26"/>
  <c r="L21" i="26"/>
  <c r="K21" i="26"/>
  <c r="J21" i="26"/>
  <c r="I21" i="26"/>
  <c r="F21" i="26"/>
  <c r="E21" i="26"/>
  <c r="D21" i="26"/>
  <c r="C21" i="26"/>
  <c r="B21" i="26"/>
  <c r="T18" i="26"/>
  <c r="S18" i="26"/>
  <c r="R18" i="26"/>
  <c r="Q18" i="26"/>
  <c r="P18" i="26"/>
  <c r="M18" i="26"/>
  <c r="L18" i="26"/>
  <c r="K18" i="26"/>
  <c r="J18" i="26"/>
  <c r="I18" i="26"/>
  <c r="F18" i="26"/>
  <c r="E18" i="26"/>
  <c r="D18" i="26"/>
  <c r="C18" i="26"/>
  <c r="B18" i="26"/>
  <c r="T17" i="26"/>
  <c r="S17" i="26"/>
  <c r="R17" i="26"/>
  <c r="Q17" i="26"/>
  <c r="P17" i="26"/>
  <c r="M17" i="26"/>
  <c r="L17" i="26"/>
  <c r="K17" i="26"/>
  <c r="J17" i="26"/>
  <c r="I17" i="26"/>
  <c r="F17" i="26"/>
  <c r="E17" i="26"/>
  <c r="D17" i="26"/>
  <c r="C17" i="26"/>
  <c r="B17" i="26"/>
  <c r="T16" i="26"/>
  <c r="S16" i="26"/>
  <c r="R16" i="26"/>
  <c r="Q16" i="26"/>
  <c r="P16" i="26"/>
  <c r="M16" i="26"/>
  <c r="L16" i="26"/>
  <c r="K16" i="26"/>
  <c r="J16" i="26"/>
  <c r="I16" i="26"/>
  <c r="F16" i="26"/>
  <c r="E16" i="26"/>
  <c r="D16" i="26"/>
  <c r="C16" i="26"/>
  <c r="B16" i="26"/>
  <c r="T15" i="26"/>
  <c r="S15" i="26"/>
  <c r="R15" i="26"/>
  <c r="Q15" i="26"/>
  <c r="P15" i="26"/>
  <c r="M15" i="26"/>
  <c r="L15" i="26"/>
  <c r="K15" i="26"/>
  <c r="J15" i="26"/>
  <c r="I15" i="26"/>
  <c r="F15" i="26"/>
  <c r="E15" i="26"/>
  <c r="D15" i="26"/>
  <c r="C15" i="26"/>
  <c r="B15" i="26"/>
  <c r="T14" i="26"/>
  <c r="S14" i="26"/>
  <c r="R14" i="26"/>
  <c r="Q14" i="26"/>
  <c r="P14" i="26"/>
  <c r="M14" i="26"/>
  <c r="L14" i="26"/>
  <c r="K14" i="26"/>
  <c r="J14" i="26"/>
  <c r="I14" i="26"/>
  <c r="F14" i="26"/>
  <c r="E14" i="26"/>
  <c r="D14" i="26"/>
  <c r="C14" i="26"/>
  <c r="B14" i="26"/>
  <c r="T13" i="26"/>
  <c r="S13" i="26"/>
  <c r="R13" i="26"/>
  <c r="Q13" i="26"/>
  <c r="P13" i="26"/>
  <c r="M13" i="26"/>
  <c r="L13" i="26"/>
  <c r="K13" i="26"/>
  <c r="J13" i="26"/>
  <c r="I13" i="26"/>
  <c r="F13" i="26"/>
  <c r="E13" i="26"/>
  <c r="D13" i="26"/>
  <c r="C13" i="26"/>
  <c r="B13" i="26"/>
  <c r="T12" i="26"/>
  <c r="S12" i="26"/>
  <c r="R12" i="26"/>
  <c r="Q12" i="26"/>
  <c r="P12" i="26"/>
  <c r="M12" i="26"/>
  <c r="L12" i="26"/>
  <c r="K12" i="26"/>
  <c r="J12" i="26"/>
  <c r="I12" i="26"/>
  <c r="F12" i="26"/>
  <c r="E12" i="26"/>
  <c r="D12" i="26"/>
  <c r="C12" i="26"/>
  <c r="B12" i="26"/>
  <c r="L10" i="26"/>
  <c r="J10" i="26"/>
  <c r="I10" i="26"/>
  <c r="M27" i="8"/>
  <c r="L27" i="8"/>
  <c r="K27" i="8"/>
  <c r="J27" i="8"/>
  <c r="I27" i="8"/>
  <c r="F27" i="8"/>
  <c r="E27" i="8"/>
  <c r="D27" i="8"/>
  <c r="C27" i="8"/>
  <c r="B27" i="8"/>
  <c r="M26" i="8"/>
  <c r="L26" i="8"/>
  <c r="K26" i="8"/>
  <c r="J26" i="8"/>
  <c r="I26" i="8"/>
  <c r="F26" i="8"/>
  <c r="E26" i="8"/>
  <c r="D26" i="8"/>
  <c r="C26" i="8"/>
  <c r="B26" i="8"/>
  <c r="M25" i="8"/>
  <c r="L25" i="8"/>
  <c r="K25" i="8"/>
  <c r="J25" i="8"/>
  <c r="I25" i="8"/>
  <c r="F25" i="8"/>
  <c r="E25" i="8"/>
  <c r="D25" i="8"/>
  <c r="C25" i="8"/>
  <c r="B25" i="8"/>
  <c r="M24" i="8"/>
  <c r="L24" i="8"/>
  <c r="K24" i="8"/>
  <c r="J24" i="8"/>
  <c r="I24" i="8"/>
  <c r="F24" i="8"/>
  <c r="E24" i="8"/>
  <c r="D24" i="8"/>
  <c r="C24" i="8"/>
  <c r="B24" i="8"/>
  <c r="M23" i="8"/>
  <c r="L23" i="8"/>
  <c r="K23" i="8"/>
  <c r="J23" i="8"/>
  <c r="I23" i="8"/>
  <c r="F23" i="8"/>
  <c r="E23" i="8"/>
  <c r="D23" i="8"/>
  <c r="C23" i="8"/>
  <c r="B23" i="8"/>
  <c r="M22" i="8"/>
  <c r="L22" i="8"/>
  <c r="K22" i="8"/>
  <c r="J22" i="8"/>
  <c r="I22" i="8"/>
  <c r="F22" i="8"/>
  <c r="E22" i="8"/>
  <c r="D22" i="8"/>
  <c r="C22" i="8"/>
  <c r="B22" i="8"/>
  <c r="M21" i="8"/>
  <c r="L21" i="8"/>
  <c r="K21" i="8"/>
  <c r="J21" i="8"/>
  <c r="I21" i="8"/>
  <c r="F21" i="8"/>
  <c r="E21" i="8"/>
  <c r="D21" i="8"/>
  <c r="C21" i="8"/>
  <c r="B21" i="8"/>
  <c r="T18" i="8"/>
  <c r="S18" i="8"/>
  <c r="R18" i="8"/>
  <c r="Q18" i="8"/>
  <c r="P18" i="8"/>
  <c r="M18" i="8"/>
  <c r="L18" i="8"/>
  <c r="K18" i="8"/>
  <c r="J18" i="8"/>
  <c r="I18" i="8"/>
  <c r="F18" i="8"/>
  <c r="E18" i="8"/>
  <c r="D18" i="8"/>
  <c r="C18" i="8"/>
  <c r="B18" i="8"/>
  <c r="T17" i="8"/>
  <c r="S17" i="8"/>
  <c r="R17" i="8"/>
  <c r="Q17" i="8"/>
  <c r="P17" i="8"/>
  <c r="M17" i="8"/>
  <c r="L17" i="8"/>
  <c r="K17" i="8"/>
  <c r="J17" i="8"/>
  <c r="I17" i="8"/>
  <c r="F17" i="8"/>
  <c r="E17" i="8"/>
  <c r="D17" i="8"/>
  <c r="C17" i="8"/>
  <c r="B17" i="8"/>
  <c r="T16" i="8"/>
  <c r="S16" i="8"/>
  <c r="R16" i="8"/>
  <c r="Q16" i="8"/>
  <c r="P16" i="8"/>
  <c r="M16" i="8"/>
  <c r="L16" i="8"/>
  <c r="K16" i="8"/>
  <c r="J16" i="8"/>
  <c r="I16" i="8"/>
  <c r="F16" i="8"/>
  <c r="E16" i="8"/>
  <c r="D16" i="8"/>
  <c r="C16" i="8"/>
  <c r="B16" i="8"/>
  <c r="T15" i="8"/>
  <c r="S15" i="8"/>
  <c r="R15" i="8"/>
  <c r="Q15" i="8"/>
  <c r="P15" i="8"/>
  <c r="M15" i="8"/>
  <c r="L15" i="8"/>
  <c r="K15" i="8"/>
  <c r="J15" i="8"/>
  <c r="I15" i="8"/>
  <c r="F15" i="8"/>
  <c r="E15" i="8"/>
  <c r="D15" i="8"/>
  <c r="C15" i="8"/>
  <c r="B15" i="8"/>
  <c r="T14" i="8"/>
  <c r="S14" i="8"/>
  <c r="R14" i="8"/>
  <c r="Q14" i="8"/>
  <c r="P14" i="8"/>
  <c r="M14" i="8"/>
  <c r="L14" i="8"/>
  <c r="K14" i="8"/>
  <c r="J14" i="8"/>
  <c r="I14" i="8"/>
  <c r="F14" i="8"/>
  <c r="E14" i="8"/>
  <c r="D14" i="8"/>
  <c r="C14" i="8"/>
  <c r="B14" i="8"/>
  <c r="T13" i="8"/>
  <c r="S13" i="8"/>
  <c r="R13" i="8"/>
  <c r="Q13" i="8"/>
  <c r="P13" i="8"/>
  <c r="M13" i="8"/>
  <c r="L13" i="8"/>
  <c r="K13" i="8"/>
  <c r="J13" i="8"/>
  <c r="I13" i="8"/>
  <c r="F13" i="8"/>
  <c r="E13" i="8"/>
  <c r="D13" i="8"/>
  <c r="C13" i="8"/>
  <c r="B13" i="8"/>
  <c r="T12" i="8"/>
  <c r="S12" i="8"/>
  <c r="R12" i="8"/>
  <c r="Q12" i="8"/>
  <c r="P12" i="8"/>
  <c r="M12" i="8"/>
  <c r="L12" i="8"/>
  <c r="K12" i="8"/>
  <c r="J12" i="8"/>
  <c r="I12" i="8"/>
  <c r="F12" i="8"/>
  <c r="E12" i="8"/>
  <c r="D12" i="8"/>
  <c r="C12" i="8"/>
  <c r="B12" i="8"/>
  <c r="P62" i="24"/>
  <c r="O60" i="24"/>
  <c r="O57" i="24"/>
  <c r="O56" i="24"/>
  <c r="O54" i="24"/>
  <c r="O52" i="24"/>
  <c r="N51" i="24"/>
  <c r="O49" i="24"/>
  <c r="N48" i="24"/>
  <c r="N47" i="24"/>
  <c r="O46" i="24"/>
  <c r="N45" i="24"/>
  <c r="O44" i="24"/>
  <c r="P42" i="24"/>
  <c r="O41" i="24"/>
  <c r="O40" i="24"/>
  <c r="N40" i="24"/>
  <c r="O38" i="24"/>
  <c r="O36" i="24"/>
  <c r="N35" i="24"/>
  <c r="O33" i="24"/>
  <c r="N32" i="24"/>
  <c r="N31" i="24"/>
  <c r="O29" i="24"/>
  <c r="N27" i="24"/>
  <c r="O26" i="24"/>
  <c r="O24" i="24"/>
  <c r="N24" i="24"/>
  <c r="P23" i="24"/>
  <c r="O21" i="24"/>
  <c r="N21" i="24"/>
  <c r="O20" i="24"/>
  <c r="N20" i="24"/>
  <c r="P19" i="24"/>
  <c r="O18" i="24"/>
  <c r="L18" i="24"/>
  <c r="O17" i="24"/>
  <c r="O16" i="24"/>
  <c r="O14" i="24"/>
  <c r="O13" i="24"/>
  <c r="Q11" i="24"/>
  <c r="Q54" i="24" s="1"/>
  <c r="P11" i="24"/>
  <c r="O11" i="24"/>
  <c r="O53" i="24" s="1"/>
  <c r="N11" i="24"/>
  <c r="N44" i="24" s="1"/>
  <c r="M11" i="24"/>
  <c r="L11" i="24"/>
  <c r="AG23" i="21"/>
  <c r="X23" i="21"/>
  <c r="W23" i="21"/>
  <c r="AG22" i="21"/>
  <c r="X22" i="21"/>
  <c r="W22" i="21"/>
  <c r="AG21" i="21"/>
  <c r="X21" i="21"/>
  <c r="W21" i="21"/>
  <c r="AG20" i="21"/>
  <c r="X20" i="21"/>
  <c r="W20" i="21"/>
  <c r="AG19" i="21"/>
  <c r="X19" i="21"/>
  <c r="W19" i="21"/>
  <c r="AG18" i="21"/>
  <c r="X18" i="21"/>
  <c r="W18" i="21"/>
  <c r="AG17" i="21"/>
  <c r="X17" i="21"/>
  <c r="W17" i="21"/>
  <c r="AG16" i="21"/>
  <c r="X16" i="21"/>
  <c r="W16" i="21"/>
  <c r="AG15" i="21"/>
  <c r="X15" i="21"/>
  <c r="W15" i="21"/>
  <c r="AG14" i="21"/>
  <c r="X14" i="21"/>
  <c r="W14" i="21"/>
  <c r="AG13" i="21"/>
  <c r="X13" i="21"/>
  <c r="W13" i="21"/>
  <c r="AG12" i="21"/>
  <c r="X12" i="21"/>
  <c r="W12" i="21"/>
  <c r="AG11" i="21"/>
  <c r="X11" i="21"/>
  <c r="W11" i="21"/>
  <c r="AG10" i="21"/>
  <c r="X10" i="21"/>
  <c r="W10" i="21"/>
  <c r="AG9" i="21"/>
  <c r="X9" i="21"/>
  <c r="W9" i="21"/>
  <c r="AG8" i="21"/>
  <c r="X8" i="21"/>
  <c r="W8" i="21"/>
  <c r="AG7" i="21"/>
  <c r="X7" i="21"/>
  <c r="W7" i="21"/>
  <c r="AG6" i="21"/>
  <c r="X6" i="21"/>
  <c r="W6" i="21"/>
  <c r="AG5" i="21"/>
  <c r="X5" i="21"/>
  <c r="W5" i="21"/>
  <c r="AG4" i="21"/>
  <c r="X4" i="21"/>
  <c r="W4" i="21"/>
  <c r="O4" i="21"/>
  <c r="N4" i="21"/>
  <c r="M4" i="21"/>
  <c r="L4" i="21"/>
  <c r="AH2" i="21"/>
  <c r="X18" i="14"/>
  <c r="V18" i="14"/>
  <c r="T18" i="14"/>
  <c r="X17" i="14"/>
  <c r="V17" i="14"/>
  <c r="T17" i="14"/>
  <c r="X16" i="14"/>
  <c r="V16" i="14"/>
  <c r="T16" i="14"/>
  <c r="X15" i="14"/>
  <c r="V15" i="14"/>
  <c r="W4" i="14"/>
  <c r="X3" i="14"/>
  <c r="X5" i="14" s="1"/>
  <c r="W3" i="14"/>
  <c r="W5" i="14" s="1"/>
  <c r="V3" i="14"/>
  <c r="V5" i="14" s="1"/>
  <c r="U3" i="14"/>
  <c r="U4" i="14" s="1"/>
  <c r="T3" i="14"/>
  <c r="S3" i="14"/>
  <c r="P24" i="1" l="1"/>
  <c r="T4" i="14"/>
  <c r="T5" i="14"/>
  <c r="T19" i="14" s="1"/>
  <c r="R24" i="4"/>
  <c r="X4" i="14"/>
  <c r="S5" i="14"/>
  <c r="S4" i="14"/>
  <c r="L33" i="24"/>
  <c r="L21" i="24"/>
  <c r="L19" i="24"/>
  <c r="L22" i="24"/>
  <c r="P63" i="24"/>
  <c r="P58" i="24"/>
  <c r="P46" i="24"/>
  <c r="P25" i="24"/>
  <c r="P13" i="24"/>
  <c r="L15" i="24"/>
  <c r="P50" i="24"/>
  <c r="N37" i="24"/>
  <c r="N43" i="24"/>
  <c r="K9" i="2"/>
  <c r="P21" i="1"/>
  <c r="T21" i="1"/>
  <c r="S21" i="1"/>
  <c r="Q22" i="1"/>
  <c r="P22" i="1"/>
  <c r="T22" i="1"/>
  <c r="R23" i="1"/>
  <c r="Q23" i="1"/>
  <c r="S24" i="1"/>
  <c r="R24" i="1"/>
  <c r="P25" i="1"/>
  <c r="T25" i="1"/>
  <c r="S25" i="1"/>
  <c r="Q26" i="1"/>
  <c r="P26" i="1"/>
  <c r="T26" i="1"/>
  <c r="R27" i="1"/>
  <c r="Q27" i="1"/>
  <c r="N17" i="24"/>
  <c r="N23" i="24"/>
  <c r="O30" i="24"/>
  <c r="O34" i="24"/>
  <c r="O37" i="24"/>
  <c r="N41" i="24"/>
  <c r="O50" i="24"/>
  <c r="L9" i="5"/>
  <c r="M61" i="24"/>
  <c r="M57" i="24"/>
  <c r="M53" i="24"/>
  <c r="M49" i="24"/>
  <c r="M45" i="24"/>
  <c r="M41" i="24"/>
  <c r="M37" i="24"/>
  <c r="M33" i="24"/>
  <c r="M62" i="24"/>
  <c r="M59" i="24"/>
  <c r="M56" i="24"/>
  <c r="M46" i="24"/>
  <c r="M43" i="24"/>
  <c r="M40" i="24"/>
  <c r="M29" i="24"/>
  <c r="M25" i="24"/>
  <c r="M21" i="24"/>
  <c r="M17" i="24"/>
  <c r="M13" i="24"/>
  <c r="M58" i="24"/>
  <c r="M55" i="24"/>
  <c r="M54" i="24"/>
  <c r="M52" i="24"/>
  <c r="M51" i="24"/>
  <c r="M50" i="24"/>
  <c r="M48" i="24"/>
  <c r="M47" i="24"/>
  <c r="M44" i="24"/>
  <c r="M26" i="24"/>
  <c r="M23" i="24"/>
  <c r="M20" i="24"/>
  <c r="M22" i="24"/>
  <c r="M16" i="24"/>
  <c r="M64" i="24"/>
  <c r="M63" i="24"/>
  <c r="M60" i="24"/>
  <c r="M19" i="24"/>
  <c r="Q22" i="24"/>
  <c r="M32" i="24"/>
  <c r="M36" i="24"/>
  <c r="M42" i="24"/>
  <c r="Q48" i="24"/>
  <c r="Q61" i="24"/>
  <c r="Q57" i="24"/>
  <c r="Q53" i="24"/>
  <c r="Q49" i="24"/>
  <c r="Q45" i="24"/>
  <c r="Q41" i="24"/>
  <c r="Q37" i="24"/>
  <c r="Q33" i="24"/>
  <c r="Q63" i="24"/>
  <c r="Q60" i="24"/>
  <c r="Q50" i="24"/>
  <c r="Q47" i="24"/>
  <c r="Q44" i="24"/>
  <c r="Q34" i="24"/>
  <c r="Q31" i="24"/>
  <c r="Q29" i="24"/>
  <c r="Q25" i="24"/>
  <c r="Q21" i="24"/>
  <c r="Q17" i="24"/>
  <c r="Q13" i="24"/>
  <c r="Q30" i="24"/>
  <c r="Q27" i="24"/>
  <c r="Q24" i="24"/>
  <c r="Q14" i="24"/>
  <c r="Q42" i="24"/>
  <c r="Q32" i="24"/>
  <c r="Q26" i="24"/>
  <c r="Q20" i="24"/>
  <c r="Q46" i="24"/>
  <c r="Q43" i="24"/>
  <c r="Q40" i="24"/>
  <c r="Q39" i="24"/>
  <c r="Q38" i="24"/>
  <c r="Q36" i="24"/>
  <c r="Q35" i="24"/>
  <c r="Q23" i="24"/>
  <c r="Q28" i="24"/>
  <c r="Q64" i="24"/>
  <c r="V4" i="14"/>
  <c r="T15" i="14" s="1"/>
  <c r="U5" i="14"/>
  <c r="M15" i="24"/>
  <c r="Q16" i="24"/>
  <c r="M18" i="24"/>
  <c r="M31" i="24"/>
  <c r="M35" i="24"/>
  <c r="M39" i="24"/>
  <c r="P55" i="24"/>
  <c r="P59" i="24"/>
  <c r="P61" i="24"/>
  <c r="Q18" i="24"/>
  <c r="M27" i="24"/>
  <c r="M30" i="24"/>
  <c r="M34" i="24"/>
  <c r="M38" i="24"/>
  <c r="Q52" i="24"/>
  <c r="Q56" i="24"/>
  <c r="Q58" i="24"/>
  <c r="Q62" i="24"/>
  <c r="AB23" i="21"/>
  <c r="S4" i="21"/>
  <c r="L64" i="24"/>
  <c r="L60" i="24"/>
  <c r="L56" i="24"/>
  <c r="L52" i="24"/>
  <c r="L48" i="24"/>
  <c r="L44" i="24"/>
  <c r="L40" i="24"/>
  <c r="L36" i="24"/>
  <c r="L32" i="24"/>
  <c r="L63" i="24"/>
  <c r="L53" i="24"/>
  <c r="L50" i="24"/>
  <c r="L47" i="24"/>
  <c r="L37" i="24"/>
  <c r="L34" i="24"/>
  <c r="L31" i="24"/>
  <c r="L28" i="24"/>
  <c r="L24" i="24"/>
  <c r="L20" i="24"/>
  <c r="L16" i="24"/>
  <c r="L49" i="24"/>
  <c r="L46" i="24"/>
  <c r="L45" i="24"/>
  <c r="L43" i="24"/>
  <c r="L42" i="24"/>
  <c r="L41" i="24"/>
  <c r="L39" i="24"/>
  <c r="L38" i="24"/>
  <c r="L35" i="24"/>
  <c r="L30" i="24"/>
  <c r="L27" i="24"/>
  <c r="L17" i="24"/>
  <c r="S17" i="24" s="1"/>
  <c r="L14" i="24"/>
  <c r="L29" i="24"/>
  <c r="L13" i="24"/>
  <c r="L62" i="24"/>
  <c r="L61" i="24"/>
  <c r="L59" i="24"/>
  <c r="L58" i="24"/>
  <c r="L57" i="24"/>
  <c r="L55" i="24"/>
  <c r="L54" i="24"/>
  <c r="L51" i="24"/>
  <c r="L26" i="24"/>
  <c r="L23" i="24"/>
  <c r="P64" i="24"/>
  <c r="P60" i="24"/>
  <c r="P56" i="24"/>
  <c r="P52" i="24"/>
  <c r="P48" i="24"/>
  <c r="P44" i="24"/>
  <c r="P40" i="24"/>
  <c r="P36" i="24"/>
  <c r="P32" i="24"/>
  <c r="P57" i="24"/>
  <c r="P54" i="24"/>
  <c r="P51" i="24"/>
  <c r="P41" i="24"/>
  <c r="P38" i="24"/>
  <c r="P35" i="24"/>
  <c r="P28" i="24"/>
  <c r="P24" i="24"/>
  <c r="P20" i="24"/>
  <c r="P16" i="24"/>
  <c r="P21" i="24"/>
  <c r="P18" i="24"/>
  <c r="P15" i="24"/>
  <c r="P34" i="24"/>
  <c r="P30" i="24"/>
  <c r="P27" i="24"/>
  <c r="P17" i="24"/>
  <c r="P14" i="24"/>
  <c r="P37" i="24"/>
  <c r="P33" i="24"/>
  <c r="P31" i="24"/>
  <c r="M14" i="24"/>
  <c r="Q15" i="24"/>
  <c r="Q19" i="24"/>
  <c r="P22" i="24"/>
  <c r="M24" i="24"/>
  <c r="L25" i="24"/>
  <c r="P26" i="24"/>
  <c r="M28" i="24"/>
  <c r="P29" i="24"/>
  <c r="P39" i="24"/>
  <c r="P43" i="24"/>
  <c r="P45" i="24"/>
  <c r="P47" i="24"/>
  <c r="P49" i="24"/>
  <c r="Q51" i="24"/>
  <c r="P53" i="24"/>
  <c r="Q55" i="24"/>
  <c r="Q59" i="24"/>
  <c r="N62" i="24"/>
  <c r="N58" i="24"/>
  <c r="N54" i="24"/>
  <c r="N50" i="24"/>
  <c r="N46" i="24"/>
  <c r="N42" i="24"/>
  <c r="N38" i="24"/>
  <c r="N34" i="24"/>
  <c r="N55" i="24"/>
  <c r="N52" i="24"/>
  <c r="N49" i="24"/>
  <c r="N39" i="24"/>
  <c r="N36" i="24"/>
  <c r="N33" i="24"/>
  <c r="N30" i="24"/>
  <c r="N26" i="24"/>
  <c r="N22" i="24"/>
  <c r="N18" i="24"/>
  <c r="N14" i="24"/>
  <c r="N15" i="24"/>
  <c r="N25" i="24"/>
  <c r="N28" i="24"/>
  <c r="O63" i="24"/>
  <c r="O59" i="24"/>
  <c r="O55" i="24"/>
  <c r="O51" i="24"/>
  <c r="O47" i="24"/>
  <c r="O43" i="24"/>
  <c r="O39" i="24"/>
  <c r="O35" i="24"/>
  <c r="O31" i="24"/>
  <c r="O64" i="24"/>
  <c r="O61" i="24"/>
  <c r="O58" i="24"/>
  <c r="O48" i="24"/>
  <c r="O45" i="24"/>
  <c r="O42" i="24"/>
  <c r="O32" i="24"/>
  <c r="O27" i="24"/>
  <c r="O23" i="24"/>
  <c r="O19" i="24"/>
  <c r="O15" i="24"/>
  <c r="N13" i="24"/>
  <c r="N16" i="24"/>
  <c r="N19" i="24"/>
  <c r="O22" i="24"/>
  <c r="O25" i="24"/>
  <c r="O28" i="24"/>
  <c r="N29" i="24"/>
  <c r="N53" i="24"/>
  <c r="N56" i="24"/>
  <c r="N57" i="24"/>
  <c r="N59" i="24"/>
  <c r="N60" i="24"/>
  <c r="N61" i="24"/>
  <c r="O62" i="24"/>
  <c r="N63" i="24"/>
  <c r="N64" i="24"/>
  <c r="P21" i="4"/>
  <c r="T21" i="4"/>
  <c r="Q22" i="4"/>
  <c r="R23" i="4"/>
  <c r="S24" i="4"/>
  <c r="P25" i="4"/>
  <c r="T25" i="4"/>
  <c r="Q26" i="4"/>
  <c r="R27" i="4"/>
  <c r="AD4" i="21"/>
  <c r="U5" i="21"/>
  <c r="AB5" i="21"/>
  <c r="S6" i="21"/>
  <c r="AE6" i="21"/>
  <c r="AD7" i="21"/>
  <c r="AC8" i="21"/>
  <c r="T9" i="21"/>
  <c r="AB9" i="21"/>
  <c r="R10" i="21"/>
  <c r="AC10" i="21"/>
  <c r="T11" i="21"/>
  <c r="R12" i="21"/>
  <c r="R13" i="21"/>
  <c r="AD13" i="21"/>
  <c r="R14" i="21"/>
  <c r="AD14" i="21"/>
  <c r="R15" i="21"/>
  <c r="AD15" i="21"/>
  <c r="R16" i="21"/>
  <c r="AD16" i="21"/>
  <c r="R17" i="21"/>
  <c r="AD17" i="21"/>
  <c r="R18" i="21"/>
  <c r="S19" i="21"/>
  <c r="S20" i="21"/>
  <c r="AC21" i="21"/>
  <c r="R22" i="21"/>
  <c r="AC22" i="21"/>
  <c r="R23" i="21"/>
  <c r="AC23" i="21"/>
  <c r="T4" i="21"/>
  <c r="AE4" i="21"/>
  <c r="R5" i="21"/>
  <c r="AC5" i="21"/>
  <c r="T6" i="21"/>
  <c r="AB6" i="21"/>
  <c r="R7" i="21"/>
  <c r="AE7" i="21"/>
  <c r="R8" i="21"/>
  <c r="AD8" i="21"/>
  <c r="AC9" i="21"/>
  <c r="S10" i="21"/>
  <c r="AD10" i="21"/>
  <c r="U11" i="21"/>
  <c r="AB11" i="21"/>
  <c r="S12" i="21"/>
  <c r="AB12" i="21"/>
  <c r="S13" i="21"/>
  <c r="S14" i="21"/>
  <c r="S15" i="21"/>
  <c r="S16" i="21"/>
  <c r="S17" i="21"/>
  <c r="S18" i="21"/>
  <c r="AB18" i="21"/>
  <c r="T19" i="21"/>
  <c r="AB19" i="21"/>
  <c r="T20" i="21"/>
  <c r="AB20" i="21"/>
  <c r="S22" i="21"/>
  <c r="S23" i="21"/>
  <c r="U4" i="21"/>
  <c r="AB4" i="21"/>
  <c r="S5" i="21"/>
  <c r="AD5" i="21"/>
  <c r="AC6" i="21"/>
  <c r="S7" i="21"/>
  <c r="AB7" i="21"/>
  <c r="S8" i="21"/>
  <c r="AE8" i="21"/>
  <c r="R9" i="21"/>
  <c r="AD9" i="21"/>
  <c r="T10" i="21"/>
  <c r="R11" i="21"/>
  <c r="AC11" i="21"/>
  <c r="AC12" i="21"/>
  <c r="T13" i="21"/>
  <c r="AB13" i="21"/>
  <c r="T14" i="21"/>
  <c r="AB14" i="21"/>
  <c r="T15" i="21"/>
  <c r="AB15" i="21"/>
  <c r="T16" i="21"/>
  <c r="AB16" i="21"/>
  <c r="T17" i="21"/>
  <c r="AB17" i="21"/>
  <c r="AC18" i="21"/>
  <c r="AC19" i="21"/>
  <c r="AC20" i="21"/>
  <c r="R21" i="21"/>
  <c r="T22" i="21"/>
  <c r="T23" i="21"/>
  <c r="R4" i="21"/>
  <c r="AC4" i="21"/>
  <c r="T5" i="21"/>
  <c r="AE5" i="21"/>
  <c r="R6" i="21"/>
  <c r="AD6" i="21"/>
  <c r="AC7" i="21"/>
  <c r="T8" i="21"/>
  <c r="AB8" i="21"/>
  <c r="S9" i="21"/>
  <c r="AE9" i="21"/>
  <c r="U10" i="21"/>
  <c r="AB10" i="21"/>
  <c r="S11" i="21"/>
  <c r="AD11" i="21"/>
  <c r="AD12" i="21"/>
  <c r="AC13" i="21"/>
  <c r="AC14" i="21"/>
  <c r="AC15" i="21"/>
  <c r="AC16" i="21"/>
  <c r="AC17" i="21"/>
  <c r="AD18" i="21"/>
  <c r="R19" i="21"/>
  <c r="AD19" i="21"/>
  <c r="R20" i="21"/>
  <c r="S21" i="21"/>
  <c r="AB21" i="21"/>
  <c r="U22" i="21"/>
  <c r="AB22" i="21"/>
  <c r="U23" i="21"/>
  <c r="S19" i="24" l="1"/>
  <c r="S18" i="24"/>
  <c r="S54" i="24"/>
  <c r="S59" i="24"/>
  <c r="S29" i="24"/>
  <c r="S30" i="24"/>
  <c r="S37" i="24"/>
  <c r="S44" i="24"/>
  <c r="S60" i="24"/>
  <c r="S22" i="24"/>
  <c r="S33" i="24"/>
  <c r="S15" i="24"/>
  <c r="AF23" i="21"/>
  <c r="V19" i="14"/>
  <c r="U11" i="14" s="1"/>
  <c r="X19" i="14"/>
  <c r="V11" i="14" s="1"/>
  <c r="T11" i="14"/>
  <c r="S46" i="24"/>
  <c r="AF17" i="21"/>
  <c r="AF15" i="21"/>
  <c r="AF13" i="21"/>
  <c r="AF11" i="21"/>
  <c r="S25" i="24"/>
  <c r="S23" i="24"/>
  <c r="S55" i="24"/>
  <c r="S61" i="24"/>
  <c r="S14" i="24"/>
  <c r="S35" i="24"/>
  <c r="S42" i="24"/>
  <c r="S49" i="24"/>
  <c r="S28" i="24"/>
  <c r="S47" i="24"/>
  <c r="S32" i="24"/>
  <c r="S48" i="24"/>
  <c r="S64" i="24"/>
  <c r="S41" i="24"/>
  <c r="S26" i="24"/>
  <c r="S57" i="24"/>
  <c r="S62" i="24"/>
  <c r="S38" i="24"/>
  <c r="S43" i="24"/>
  <c r="S16" i="24"/>
  <c r="S31" i="24"/>
  <c r="S50" i="24"/>
  <c r="S36" i="24"/>
  <c r="S52" i="24"/>
  <c r="S24" i="24"/>
  <c r="S63" i="24"/>
  <c r="AF14" i="21"/>
  <c r="AF7" i="21"/>
  <c r="S51" i="24"/>
  <c r="S58" i="24"/>
  <c r="S13" i="24"/>
  <c r="S27" i="24"/>
  <c r="S39" i="24"/>
  <c r="S45" i="24"/>
  <c r="S20" i="24"/>
  <c r="S34" i="24"/>
  <c r="S53" i="24"/>
  <c r="S40" i="24"/>
  <c r="S56" i="24"/>
  <c r="S21" i="24"/>
  <c r="V11" i="21"/>
  <c r="C13" i="21" s="1"/>
  <c r="AF22" i="21"/>
  <c r="V20" i="21"/>
  <c r="F10" i="21" s="1"/>
  <c r="AF10" i="21"/>
  <c r="AF8" i="21"/>
  <c r="V6" i="21"/>
  <c r="B12" i="21" s="1"/>
  <c r="V4" i="21"/>
  <c r="B10" i="21" s="1"/>
  <c r="AF19" i="21"/>
  <c r="V7" i="21"/>
  <c r="B13" i="21" s="1"/>
  <c r="V5" i="21"/>
  <c r="B11" i="21" s="1"/>
  <c r="V23" i="21"/>
  <c r="F13" i="21" s="1"/>
  <c r="V17" i="21"/>
  <c r="E11" i="21" s="1"/>
  <c r="V15" i="21"/>
  <c r="D13" i="21"/>
  <c r="V13" i="21"/>
  <c r="D11" i="21" s="1"/>
  <c r="V10" i="21"/>
  <c r="C12" i="21" s="1"/>
  <c r="AF5" i="21"/>
  <c r="AF16" i="21"/>
  <c r="AF12" i="21"/>
  <c r="V8" i="21"/>
  <c r="C10" i="21" s="1"/>
  <c r="AF6" i="21"/>
  <c r="V12" i="21"/>
  <c r="D10" i="21" s="1"/>
  <c r="AF9" i="21"/>
  <c r="AF21" i="21"/>
  <c r="V19" i="21"/>
  <c r="E13" i="21" s="1"/>
  <c r="V9" i="21"/>
  <c r="C11" i="21" s="1"/>
  <c r="AF4" i="21"/>
  <c r="AH4" i="21" s="1"/>
  <c r="AF20" i="21"/>
  <c r="AF18" i="21"/>
  <c r="V22" i="21"/>
  <c r="F12" i="21" s="1"/>
  <c r="V18" i="21"/>
  <c r="E12" i="21" s="1"/>
  <c r="V16" i="21"/>
  <c r="E10" i="21" s="1"/>
  <c r="V14" i="21"/>
  <c r="D12" i="21"/>
  <c r="V21" i="21"/>
  <c r="F11" i="21" s="1"/>
  <c r="AH5" i="21" l="1"/>
  <c r="AH6" i="21" s="1"/>
  <c r="AH7" i="21" s="1"/>
  <c r="AH8" i="21" s="1"/>
  <c r="AH9" i="21" s="1"/>
  <c r="AH10" i="21" s="1"/>
  <c r="AH11" i="21" s="1"/>
  <c r="AH12" i="21" s="1"/>
  <c r="AH13" i="21" s="1"/>
  <c r="AH14" i="21" s="1"/>
  <c r="AH15" i="21" s="1"/>
  <c r="AH16" i="21" s="1"/>
  <c r="AH17" i="21" s="1"/>
  <c r="AH18" i="21" s="1"/>
  <c r="AH19" i="21" s="1"/>
  <c r="AH20" i="21" s="1"/>
  <c r="AH21" i="21" s="1"/>
  <c r="AH22" i="21" s="1"/>
  <c r="AH23" i="21" s="1"/>
  <c r="V9" i="24"/>
  <c r="AH25" i="21" l="1"/>
  <c r="AA10" i="24"/>
  <c r="T4" i="24"/>
  <c r="L6" i="21" l="1"/>
  <c r="M6" i="21"/>
  <c r="O6" i="21"/>
  <c r="N6" i="21"/>
  <c r="Z7" i="24" a="1"/>
  <c r="Z7" i="24" s="1"/>
  <c r="Z5" i="24" a="1"/>
  <c r="Z5" i="24" s="1"/>
  <c r="Z6" i="24" a="1"/>
  <c r="Z6" i="24" s="1"/>
  <c r="Z4" i="24" a="1"/>
  <c r="Z4" i="24" s="1"/>
  <c r="Z3" i="24" a="1"/>
  <c r="Z3" i="24" s="1"/>
  <c r="Z8" i="24" a="1"/>
  <c r="Z8" i="24" s="1"/>
  <c r="M8" i="21" l="1"/>
  <c r="M16" i="21" s="1"/>
  <c r="AC27" i="21" s="1"/>
  <c r="L8" i="21"/>
  <c r="N8" i="21"/>
  <c r="N16" i="21" s="1"/>
  <c r="AD27" i="21" s="1"/>
  <c r="O8" i="21"/>
  <c r="O16" i="21" s="1"/>
  <c r="AE27" i="21" s="1"/>
  <c r="L16" i="21" l="1"/>
  <c r="AB27" i="21" s="1"/>
  <c r="AH26" i="21"/>
  <c r="AC28" i="21" l="1"/>
  <c r="AC29" i="21" s="1"/>
  <c r="AB28" i="21"/>
  <c r="AB29" i="21" s="1"/>
  <c r="AE28" i="21"/>
  <c r="AE29" i="21" s="1"/>
  <c r="AD28" i="21"/>
  <c r="AD29" i="21" s="1"/>
  <c r="AA30" i="21" l="1"/>
  <c r="H7" i="21" s="1"/>
</calcChain>
</file>

<file path=xl/sharedStrings.xml><?xml version="1.0" encoding="utf-8"?>
<sst xmlns="http://schemas.openxmlformats.org/spreadsheetml/2006/main" count="1380" uniqueCount="330">
  <si>
    <t>about</t>
    <phoneticPr fontId="1" type="noConversion"/>
  </si>
  <si>
    <t>after</t>
    <phoneticPr fontId="1" type="noConversion"/>
  </si>
  <si>
    <t>again</t>
    <phoneticPr fontId="1" type="noConversion"/>
  </si>
  <si>
    <t>below</t>
    <phoneticPr fontId="1" type="noConversion"/>
  </si>
  <si>
    <t>could</t>
    <phoneticPr fontId="1" type="noConversion"/>
  </si>
  <si>
    <t>every</t>
    <phoneticPr fontId="1" type="noConversion"/>
  </si>
  <si>
    <t>first</t>
    <phoneticPr fontId="1" type="noConversion"/>
  </si>
  <si>
    <t>found</t>
    <phoneticPr fontId="1" type="noConversion"/>
  </si>
  <si>
    <t>great</t>
    <phoneticPr fontId="1" type="noConversion"/>
  </si>
  <si>
    <t>house</t>
    <phoneticPr fontId="1" type="noConversion"/>
  </si>
  <si>
    <t>large</t>
    <phoneticPr fontId="1" type="noConversion"/>
  </si>
  <si>
    <t>learn</t>
    <phoneticPr fontId="1" type="noConversion"/>
  </si>
  <si>
    <t>never</t>
    <phoneticPr fontId="1" type="noConversion"/>
  </si>
  <si>
    <t>other</t>
    <phoneticPr fontId="1" type="noConversion"/>
  </si>
  <si>
    <t>place</t>
    <phoneticPr fontId="1" type="noConversion"/>
  </si>
  <si>
    <t>plant</t>
    <phoneticPr fontId="1" type="noConversion"/>
  </si>
  <si>
    <t>point</t>
    <phoneticPr fontId="1" type="noConversion"/>
  </si>
  <si>
    <t>right</t>
    <phoneticPr fontId="1" type="noConversion"/>
  </si>
  <si>
    <t>small</t>
    <phoneticPr fontId="1" type="noConversion"/>
  </si>
  <si>
    <t>sound</t>
    <phoneticPr fontId="1" type="noConversion"/>
  </si>
  <si>
    <t>spell</t>
    <phoneticPr fontId="1" type="noConversion"/>
  </si>
  <si>
    <t>still</t>
    <phoneticPr fontId="1" type="noConversion"/>
  </si>
  <si>
    <t>study</t>
    <phoneticPr fontId="1" type="noConversion"/>
  </si>
  <si>
    <t>their</t>
    <phoneticPr fontId="1" type="noConversion"/>
  </si>
  <si>
    <t>there</t>
    <phoneticPr fontId="1" type="noConversion"/>
  </si>
  <si>
    <t>these</t>
    <phoneticPr fontId="1" type="noConversion"/>
  </si>
  <si>
    <t>thing</t>
    <phoneticPr fontId="1" type="noConversion"/>
  </si>
  <si>
    <t>think</t>
    <phoneticPr fontId="1" type="noConversion"/>
  </si>
  <si>
    <t>three</t>
    <phoneticPr fontId="1" type="noConversion"/>
  </si>
  <si>
    <t>water</t>
    <phoneticPr fontId="1" type="noConversion"/>
  </si>
  <si>
    <t>where</t>
    <phoneticPr fontId="1" type="noConversion"/>
  </si>
  <si>
    <t>which</t>
    <phoneticPr fontId="1" type="noConversion"/>
  </si>
  <si>
    <t>world</t>
    <phoneticPr fontId="1" type="noConversion"/>
  </si>
  <si>
    <t>would</t>
    <phoneticPr fontId="1" type="noConversion"/>
  </si>
  <si>
    <t>write</t>
    <phoneticPr fontId="1" type="noConversion"/>
  </si>
  <si>
    <t>LED</t>
    <phoneticPr fontId="1" type="noConversion"/>
  </si>
  <si>
    <t>Colour Red</t>
    <phoneticPr fontId="1" type="noConversion"/>
  </si>
  <si>
    <t>Colour Blue</t>
    <phoneticPr fontId="1" type="noConversion"/>
  </si>
  <si>
    <t>Star</t>
    <phoneticPr fontId="1" type="noConversion"/>
  </si>
  <si>
    <t>Hash table</t>
    <phoneticPr fontId="1" type="noConversion"/>
  </si>
  <si>
    <t>Red</t>
    <phoneticPr fontId="1" type="noConversion"/>
  </si>
  <si>
    <t>blue</t>
    <phoneticPr fontId="1" type="noConversion"/>
  </si>
  <si>
    <t>Ans</t>
    <phoneticPr fontId="1" type="noConversion"/>
  </si>
  <si>
    <t>C</t>
    <phoneticPr fontId="1" type="noConversion"/>
  </si>
  <si>
    <t>/</t>
    <phoneticPr fontId="1" type="noConversion"/>
  </si>
  <si>
    <t>S</t>
    <phoneticPr fontId="1" type="noConversion"/>
  </si>
  <si>
    <t>B</t>
    <phoneticPr fontId="1" type="noConversion"/>
  </si>
  <si>
    <t>D</t>
    <phoneticPr fontId="1" type="noConversion"/>
  </si>
  <si>
    <t>Cut the wire</t>
    <phoneticPr fontId="1" type="noConversion"/>
  </si>
  <si>
    <r>
      <rPr>
        <b/>
        <sz val="12"/>
        <color rgb="FFFF0000"/>
        <rFont val="Calibri"/>
        <family val="1"/>
        <charset val="136"/>
        <scheme val="minor"/>
      </rPr>
      <t>Do not</t>
    </r>
    <r>
      <rPr>
        <sz val="12"/>
        <color theme="1"/>
        <rFont val="Calibri"/>
        <family val="1"/>
        <charset val="136"/>
        <scheme val="minor"/>
      </rPr>
      <t xml:space="preserve"> cut the wire</t>
    </r>
    <phoneticPr fontId="1" type="noConversion"/>
  </si>
  <si>
    <t>P</t>
    <phoneticPr fontId="1" type="noConversion"/>
  </si>
  <si>
    <t>Cut the wire if the last digit of the serial number is even</t>
    <phoneticPr fontId="1" type="noConversion"/>
  </si>
  <si>
    <t>Cut the wire if the bomb has a parallel port</t>
    <phoneticPr fontId="1" type="noConversion"/>
  </si>
  <si>
    <t>Cut the wire if the bomb has two or more batteries</t>
    <phoneticPr fontId="1" type="noConversion"/>
  </si>
  <si>
    <t>D</t>
    <phoneticPr fontId="1" type="noConversion"/>
  </si>
  <si>
    <t>a</t>
  </si>
  <si>
    <t>b</t>
  </si>
  <si>
    <t>c</t>
  </si>
  <si>
    <t>s</t>
  </si>
  <si>
    <t>f</t>
  </si>
  <si>
    <t>d</t>
  </si>
  <si>
    <t>e</t>
  </si>
  <si>
    <t>g</t>
  </si>
  <si>
    <t>r</t>
  </si>
  <si>
    <t>t</t>
  </si>
  <si>
    <t>Correct</t>
    <phoneticPr fontId="1" type="noConversion"/>
  </si>
  <si>
    <t>o</t>
  </si>
  <si>
    <t>u</t>
  </si>
  <si>
    <t>Ans</t>
    <phoneticPr fontId="1" type="noConversion"/>
  </si>
  <si>
    <t>B</t>
    <phoneticPr fontId="1" type="noConversion"/>
  </si>
  <si>
    <t>S</t>
    <phoneticPr fontId="1" type="noConversion"/>
  </si>
  <si>
    <t>C</t>
    <phoneticPr fontId="1" type="noConversion"/>
  </si>
  <si>
    <t>D</t>
    <phoneticPr fontId="1" type="noConversion"/>
  </si>
  <si>
    <t>NO VBA</t>
    <phoneticPr fontId="1" type="noConversion"/>
  </si>
  <si>
    <t>All letters needed (VBA)</t>
    <phoneticPr fontId="1" type="noConversion"/>
  </si>
  <si>
    <t>p</t>
  </si>
  <si>
    <t>i</t>
  </si>
  <si>
    <t>n</t>
  </si>
  <si>
    <t>Finish?</t>
    <phoneticPr fontId="1" type="noConversion"/>
  </si>
  <si>
    <t>h</t>
  </si>
  <si>
    <t>l</t>
  </si>
  <si>
    <t>w</t>
  </si>
  <si>
    <t>these</t>
    <phoneticPr fontId="1" type="noConversion"/>
  </si>
  <si>
    <t>y</t>
  </si>
  <si>
    <t>m</t>
  </si>
  <si>
    <t>Untick/tick to refresh table</t>
    <phoneticPr fontId="1" type="noConversion"/>
  </si>
  <si>
    <t>1st letter</t>
  </si>
  <si>
    <t>1st letter</t>
    <phoneticPr fontId="1" type="noConversion"/>
  </si>
  <si>
    <t>2nd letter</t>
  </si>
  <si>
    <t>2nd letter</t>
    <phoneticPr fontId="1" type="noConversion"/>
  </si>
  <si>
    <t>3rd letter</t>
  </si>
  <si>
    <t>3rd letter</t>
    <phoneticPr fontId="1" type="noConversion"/>
  </si>
  <si>
    <t>4th letter</t>
  </si>
  <si>
    <t>4th letter</t>
    <phoneticPr fontId="1" type="noConversion"/>
  </si>
  <si>
    <t>5th letter</t>
  </si>
  <si>
    <t>5th letter</t>
    <phoneticPr fontId="1" type="noConversion"/>
  </si>
  <si>
    <t>v</t>
  </si>
  <si>
    <t>k</t>
  </si>
  <si>
    <t>Deductive (VBA)</t>
    <phoneticPr fontId="1" type="noConversion"/>
  </si>
  <si>
    <t>NO VBA [so sad]</t>
    <phoneticPr fontId="1" type="noConversion"/>
  </si>
  <si>
    <t>ld6bj1</t>
    <phoneticPr fontId="1" type="noConversion"/>
  </si>
  <si>
    <t>A</t>
  </si>
  <si>
    <t>B</t>
  </si>
  <si>
    <t>C</t>
  </si>
  <si>
    <t>E</t>
  </si>
  <si>
    <t>D</t>
  </si>
  <si>
    <t>F</t>
  </si>
  <si>
    <t>G</t>
  </si>
  <si>
    <t>H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</si>
  <si>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</si>
  <si>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</si>
  <si>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</si>
  <si>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</si>
  <si>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</si>
  <si>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</si>
  <si>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</si>
  <si>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</si>
  <si>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</t>
  </si>
  <si>
    <t>India</t>
  </si>
  <si>
    <t>J</t>
  </si>
  <si>
    <t>Juliet</t>
  </si>
  <si>
    <t>K</t>
  </si>
  <si>
    <t>Kilo</t>
  </si>
  <si>
    <t>L</t>
  </si>
  <si>
    <t>Lima</t>
  </si>
  <si>
    <t>M</t>
  </si>
  <si>
    <t>Mike</t>
  </si>
  <si>
    <t>N</t>
  </si>
  <si>
    <t>November</t>
  </si>
  <si>
    <t>O</t>
  </si>
  <si>
    <t>Oscar</t>
  </si>
  <si>
    <t>P</t>
  </si>
  <si>
    <t>Papa</t>
  </si>
  <si>
    <t>Q</t>
  </si>
  <si>
    <t>Quebec</t>
  </si>
  <si>
    <t>R</t>
  </si>
  <si>
    <t>Romeo</t>
  </si>
  <si>
    <t>S</t>
  </si>
  <si>
    <t>Sierra</t>
  </si>
  <si>
    <t>T</t>
  </si>
  <si>
    <t>Tango</t>
  </si>
  <si>
    <t>U</t>
  </si>
  <si>
    <t>Uniform</t>
  </si>
  <si>
    <t>V</t>
  </si>
  <si>
    <t>Victor</t>
  </si>
  <si>
    <t>W</t>
  </si>
  <si>
    <t>Whiskey</t>
  </si>
  <si>
    <t>X</t>
  </si>
  <si>
    <t>X-ray</t>
  </si>
  <si>
    <t>Y</t>
  </si>
  <si>
    <t>Yankee</t>
  </si>
  <si>
    <t>Z</t>
  </si>
  <si>
    <t>Zulu</t>
  </si>
  <si>
    <t xml:space="preserve"> </t>
    <phoneticPr fontId="1" type="noConversion"/>
  </si>
  <si>
    <t>https://ktane.timwi.de/HTML/Hexamaze%20interactive%20(samfun123).html</t>
    <phoneticPr fontId="1" type="noConversion"/>
  </si>
  <si>
    <t>https://ktane.timwi.de/HTML/Algebra.html</t>
  </si>
  <si>
    <t>Serial</t>
    <phoneticPr fontId="1" type="noConversion"/>
  </si>
  <si>
    <t>Green</t>
    <phoneticPr fontId="1" type="noConversion"/>
  </si>
  <si>
    <t>Blue</t>
    <phoneticPr fontId="1" type="noConversion"/>
  </si>
  <si>
    <t>Yellow</t>
    <phoneticPr fontId="1" type="noConversion"/>
  </si>
  <si>
    <t>Purple</t>
    <phoneticPr fontId="1" type="noConversion"/>
  </si>
  <si>
    <t>Orange</t>
    <phoneticPr fontId="1" type="noConversion"/>
  </si>
  <si>
    <t>All letters needed (VBA)</t>
    <phoneticPr fontId="1" type="noConversion"/>
  </si>
  <si>
    <t>Memo:</t>
    <phoneticPr fontId="1" type="noConversion"/>
  </si>
  <si>
    <t>https://ktane.timwi.de/HTML/Alphabet.html</t>
    <phoneticPr fontId="1" type="noConversion"/>
  </si>
  <si>
    <t>x</t>
  </si>
  <si>
    <t>x=n</t>
    <phoneticPr fontId="1" type="noConversion"/>
  </si>
  <si>
    <t>n=</t>
    <phoneticPr fontId="1" type="noConversion"/>
  </si>
  <si>
    <t>Battery holders</t>
    <phoneticPr fontId="1" type="noConversion"/>
  </si>
  <si>
    <t>Q1)</t>
    <phoneticPr fontId="1" type="noConversion"/>
  </si>
  <si>
    <t>Q2)</t>
    <phoneticPr fontId="1" type="noConversion"/>
  </si>
  <si>
    <t>Battery holder</t>
    <phoneticPr fontId="1" type="noConversion"/>
  </si>
  <si>
    <t>Q3)</t>
    <phoneticPr fontId="1" type="noConversion"/>
  </si>
  <si>
    <t>https://ktane.timwi.de/HTML/Combination%20Lock.html</t>
    <phoneticPr fontId="1" type="noConversion"/>
  </si>
  <si>
    <t>https://ktane.timwi.de/HTML/Crazy%20Talk.html</t>
    <phoneticPr fontId="1" type="noConversion"/>
  </si>
  <si>
    <t>RJ-45</t>
    <phoneticPr fontId="1" type="noConversion"/>
  </si>
  <si>
    <t>j</t>
  </si>
  <si>
    <t>z</t>
  </si>
  <si>
    <t>q</t>
  </si>
  <si>
    <t>Yes</t>
    <phoneticPr fontId="1" type="noConversion"/>
  </si>
  <si>
    <t>No</t>
    <phoneticPr fontId="1" type="noConversion"/>
  </si>
  <si>
    <t>RJ-45</t>
    <phoneticPr fontId="1" type="noConversion"/>
  </si>
  <si>
    <t>Vowel?</t>
    <phoneticPr fontId="1" type="noConversion"/>
  </si>
  <si>
    <t>Lit BOB?</t>
    <phoneticPr fontId="1" type="noConversion"/>
  </si>
  <si>
    <t>https://ktane.timwi.de/HTML/Switches.html</t>
    <phoneticPr fontId="1" type="noConversion"/>
  </si>
  <si>
    <t>https://ktane.timwi.de/HTML/Two%20Bits.html</t>
    <phoneticPr fontId="1" type="noConversion"/>
  </si>
  <si>
    <t>JQXZ</t>
  </si>
  <si>
    <t>QEW</t>
  </si>
  <si>
    <t>AC</t>
  </si>
  <si>
    <t>ZNY</t>
  </si>
  <si>
    <t>TJL</t>
  </si>
  <si>
    <t>OKBV</t>
  </si>
  <si>
    <t>DFW</t>
  </si>
  <si>
    <t>YKQ</t>
  </si>
  <si>
    <t>LXE</t>
  </si>
  <si>
    <t>GS</t>
  </si>
  <si>
    <t>VSI</t>
  </si>
  <si>
    <t>PQJS</t>
  </si>
  <si>
    <t>VCN</t>
  </si>
  <si>
    <t>JR</t>
  </si>
  <si>
    <t>IRNM</t>
  </si>
  <si>
    <t>OP</t>
  </si>
  <si>
    <t>QYDX</t>
  </si>
  <si>
    <t>HDU</t>
  </si>
  <si>
    <t>PKD</t>
  </si>
  <si>
    <t>ARGF</t>
  </si>
  <si>
    <t>#. Indicator</t>
    <phoneticPr fontId="1" type="noConversion"/>
  </si>
  <si>
    <t>#. Port</t>
    <phoneticPr fontId="1" type="noConversion"/>
  </si>
  <si>
    <t>A</t>
    <phoneticPr fontId="1" type="noConversion"/>
  </si>
  <si>
    <t>E</t>
    <phoneticPr fontId="1" type="noConversion"/>
  </si>
  <si>
    <t>I</t>
    <phoneticPr fontId="1" type="noConversion"/>
  </si>
  <si>
    <t>O</t>
    <phoneticPr fontId="1" type="noConversion"/>
  </si>
  <si>
    <t>U</t>
    <phoneticPr fontId="1" type="noConversion"/>
  </si>
  <si>
    <t>Value</t>
    <phoneticPr fontId="1" type="noConversion"/>
  </si>
  <si>
    <t>Vowel</t>
    <phoneticPr fontId="1" type="noConversion"/>
  </si>
  <si>
    <t>Landing Checklist</t>
    <phoneticPr fontId="1" type="noConversion"/>
  </si>
  <si>
    <t>AA battery</t>
    <phoneticPr fontId="1" type="noConversion"/>
  </si>
  <si>
    <t>D battery</t>
    <phoneticPr fontId="1" type="noConversion"/>
  </si>
  <si>
    <t>y=i-p</t>
    <phoneticPr fontId="1" type="noConversion"/>
  </si>
  <si>
    <t>2- battery holder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</si>
  <si>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</si>
  <si>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</si>
  <si>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</si>
  <si>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Parallel</t>
    <phoneticPr fontId="1" type="noConversion"/>
  </si>
  <si>
    <t>Lit MSA</t>
    <phoneticPr fontId="1" type="noConversion"/>
  </si>
  <si>
    <t>Lit BOB</t>
    <phoneticPr fontId="1" type="noConversion"/>
  </si>
  <si>
    <t>Unlit FRQ</t>
    <phoneticPr fontId="1" type="noConversion"/>
  </si>
  <si>
    <t>Unlit FRQ</t>
    <phoneticPr fontId="1" type="noConversion"/>
  </si>
  <si>
    <t>i-p=</t>
    <phoneticPr fontId="1" type="noConversion"/>
  </si>
  <si>
    <t>Prime?</t>
    <phoneticPr fontId="1" type="noConversion"/>
  </si>
  <si>
    <t>z=m+t*d</t>
    <phoneticPr fontId="1" type="noConversion"/>
  </si>
  <si>
    <t>m+t*d=</t>
    <phoneticPr fontId="1" type="noConversion"/>
  </si>
  <si>
    <t>#. Modules</t>
    <phoneticPr fontId="1" type="noConversion"/>
  </si>
  <si>
    <t>No hold?</t>
    <phoneticPr fontId="1" type="noConversion"/>
  </si>
  <si>
    <t xml:space="preserve"> </t>
    <phoneticPr fontId="1" type="noConversion"/>
  </si>
  <si>
    <t>%3=0?</t>
    <phoneticPr fontId="1" type="noConversion"/>
  </si>
  <si>
    <t>adjust</t>
  </si>
  <si>
    <t>anchor</t>
  </si>
  <si>
    <t>bowtie</t>
  </si>
  <si>
    <t>button</t>
  </si>
  <si>
    <t>cipher</t>
  </si>
  <si>
    <t>corner</t>
  </si>
  <si>
    <t>dampen</t>
  </si>
  <si>
    <t>demote</t>
  </si>
  <si>
    <t>enlist</t>
  </si>
  <si>
    <t>evolve</t>
  </si>
  <si>
    <t>forget</t>
  </si>
  <si>
    <t>finish</t>
  </si>
  <si>
    <t>geyser</t>
  </si>
  <si>
    <t>global</t>
  </si>
  <si>
    <t>hammer</t>
  </si>
  <si>
    <t>helium</t>
  </si>
  <si>
    <t>ignite</t>
  </si>
  <si>
    <t>indigo</t>
  </si>
  <si>
    <t>jigsaw</t>
  </si>
  <si>
    <t>juliet</t>
  </si>
  <si>
    <t>karate</t>
  </si>
  <si>
    <t>keypad</t>
  </si>
  <si>
    <t>lambda</t>
  </si>
  <si>
    <t>listen</t>
  </si>
  <si>
    <t>matter</t>
  </si>
  <si>
    <t>memory</t>
  </si>
  <si>
    <t>nebula</t>
  </si>
  <si>
    <t>nickel</t>
  </si>
  <si>
    <t>overdo</t>
  </si>
  <si>
    <t>oxygen</t>
  </si>
  <si>
    <t>peanut</t>
  </si>
  <si>
    <t>photon</t>
  </si>
  <si>
    <t>quartz</t>
  </si>
  <si>
    <t>quebec</t>
  </si>
  <si>
    <t>resist</t>
  </si>
  <si>
    <t>riddle</t>
  </si>
  <si>
    <t>sierra</t>
  </si>
  <si>
    <t>strike</t>
  </si>
  <si>
    <t>teapot</t>
  </si>
  <si>
    <t>twenty</t>
  </si>
  <si>
    <t>untold</t>
  </si>
  <si>
    <t>ultima</t>
  </si>
  <si>
    <t>victor</t>
  </si>
  <si>
    <t>violet</t>
  </si>
  <si>
    <t>wither</t>
  </si>
  <si>
    <t>wrench</t>
  </si>
  <si>
    <t>xenons</t>
  </si>
  <si>
    <t>xylose</t>
  </si>
  <si>
    <t>yellow</t>
  </si>
  <si>
    <t>yogurt</t>
  </si>
  <si>
    <t>zenith</t>
  </si>
  <si>
    <t>zodiac</t>
  </si>
  <si>
    <t>6th letter</t>
    <phoneticPr fontId="1" type="noConversion"/>
  </si>
  <si>
    <t>https://ktane.timwi.de/HTML/Extended%20Password.html</t>
  </si>
  <si>
    <t>Finish?</t>
    <phoneticPr fontId="1" type="noConversion"/>
  </si>
  <si>
    <t>^</t>
    <phoneticPr fontId="1" type="noConversion"/>
  </si>
  <si>
    <t>REMAINING</t>
    <phoneticPr fontId="1" type="noConversion"/>
  </si>
  <si>
    <t>Probably ...</t>
    <phoneticPr fontId="1" type="noConversion"/>
  </si>
  <si>
    <t>Deductive (VBA)</t>
    <phoneticPr fontId="1" type="noConversion"/>
  </si>
  <si>
    <t>Stupid decoder  ..hope your computer can withstand</t>
    <phoneticPr fontId="1" type="noConversion"/>
  </si>
  <si>
    <t>LEN</t>
    <phoneticPr fontId="1" type="noConversion"/>
  </si>
  <si>
    <t>SUM</t>
    <phoneticPr fontId="1" type="noConversion"/>
  </si>
  <si>
    <t>order</t>
    <phoneticPr fontId="1" type="noConversion"/>
  </si>
  <si>
    <t>Enable =</t>
    <phoneticPr fontId="1" type="noConversion"/>
  </si>
  <si>
    <t>1st round</t>
    <phoneticPr fontId="1" type="noConversion"/>
  </si>
  <si>
    <t>Remain:</t>
    <phoneticPr fontId="1" type="noConversion"/>
  </si>
  <si>
    <t>Get:</t>
    <phoneticPr fontId="1" type="noConversion"/>
  </si>
  <si>
    <t>Compare</t>
    <phoneticPr fontId="1" type="noConversion"/>
  </si>
  <si>
    <t>Alphabetical Order</t>
    <phoneticPr fontId="1" type="noConversion"/>
  </si>
  <si>
    <t>ORDER</t>
    <phoneticPr fontId="1" type="noConversion"/>
  </si>
  <si>
    <t>Final:</t>
    <phoneticPr fontId="1" type="noConversion"/>
  </si>
  <si>
    <t>Input</t>
    <phoneticPr fontId="1" type="noConversion"/>
  </si>
  <si>
    <t>~~Answer~~</t>
    <phoneticPr fontId="1" type="noConversion"/>
  </si>
  <si>
    <t>http://www.bombmanual.com/manual/1/pdf/Bomb-Defusal-Manual_1.pdf</t>
  </si>
  <si>
    <t xml:space="preserve">Deductive (VBA) </t>
  </si>
  <si>
    <t>*if lag please use V2</t>
  </si>
  <si>
    <t>Prevent</t>
  </si>
  <si>
    <t>Dec</t>
  </si>
  <si>
    <t>From:</t>
  </si>
  <si>
    <t>To:</t>
  </si>
  <si>
    <t>(light)</t>
  </si>
  <si>
    <t>(switch)</t>
  </si>
  <si>
    <t>current</t>
  </si>
  <si>
    <t>reach</t>
  </si>
  <si>
    <t>Ans:</t>
  </si>
  <si>
    <t>UP  = 1</t>
  </si>
  <si>
    <t>DOWN = 0</t>
  </si>
  <si>
    <t>From</t>
  </si>
  <si>
    <t>To</t>
  </si>
  <si>
    <t>Press from small to large number</t>
  </si>
  <si>
    <t>Step_by_Step</t>
  </si>
  <si>
    <t>00010</t>
  </si>
  <si>
    <t>11111</t>
  </si>
  <si>
    <t>Ref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</si>
</sst>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2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b/>
      <sz val="12"/>
      <color rgb="FFFF0000"/>
      <name val="Calibri"/>
      <family val="1"/>
      <charset val="136"/>
      <scheme val="minor"/>
    </font>
    <font>
      <sz val="20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"/>
      <family val="1"/>
      <charset val="136"/>
      <scheme val="minor"/>
    </font>
    <font>
      <sz val="20"/>
      <color theme="1"/>
      <name val="Calibri"/>
      <family val="1"/>
      <charset val="136"/>
      <scheme val="minor"/>
    </font>
    <font>
      <sz val="36"/>
      <color theme="1"/>
      <name val="Calibri"/>
      <family val="1"/>
      <charset val="136"/>
      <scheme val="minor"/>
    </font>
    <font>
      <u/>
      <sz val="12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26"/>
      <color theme="1"/>
      <name val="Calibri"/>
      <family val="1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24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4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name val="Calibri"/>
      <family val="1"/>
      <charset val="136"/>
      <scheme val="minor"/>
    </font>
    <font>
      <sz val="26"/>
      <color theme="1"/>
      <name val="Calibri"/>
      <family val="1"/>
      <charset val="136"/>
      <scheme val="minor"/>
    </font>
    <font>
      <i/>
      <sz val="12"/>
      <color theme="1"/>
      <name val="Calibri"/>
      <family val="1"/>
      <charset val="136"/>
      <scheme val="minor"/>
    </font>
    <font>
      <sz val="102"/>
      <color theme="1"/>
      <name val="Calibri"/>
      <family val="1"/>
      <charset val="136"/>
      <scheme val="minor"/>
    </font>
    <font>
      <sz val="26"/>
      <color rgb="FF00B050"/>
      <name val="Calibri"/>
      <family val="2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5" borderId="0" xfId="0" applyFill="1"/>
    <xf numFmtId="0" fontId="0" fillId="0" borderId="1" xfId="0" applyBorder="1"/>
    <xf numFmtId="0" fontId="0" fillId="5" borderId="1" xfId="0" applyFill="1" applyBorder="1"/>
    <xf numFmtId="0" fontId="0" fillId="6" borderId="0" xfId="0" applyFill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7" borderId="0" xfId="0" applyFill="1"/>
    <xf numFmtId="0" fontId="0" fillId="8" borderId="1" xfId="0" applyFill="1" applyBorder="1"/>
    <xf numFmtId="0" fontId="0" fillId="8" borderId="0" xfId="0" applyFill="1"/>
    <xf numFmtId="0" fontId="0" fillId="9" borderId="1" xfId="0" applyFill="1" applyBorder="1"/>
    <xf numFmtId="0" fontId="10" fillId="0" borderId="0" xfId="0" applyFont="1"/>
    <xf numFmtId="0" fontId="4" fillId="5" borderId="1" xfId="0" applyFont="1" applyFill="1" applyBorder="1"/>
    <xf numFmtId="0" fontId="9" fillId="9" borderId="1" xfId="0" applyFont="1" applyFill="1" applyBorder="1"/>
    <xf numFmtId="0" fontId="4" fillId="9" borderId="1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4" borderId="1" xfId="0" applyFont="1" applyFill="1" applyBorder="1"/>
    <xf numFmtId="0" fontId="0" fillId="0" borderId="5" xfId="0" applyBorder="1" applyAlignment="1">
      <alignment vertical="center" wrapText="1"/>
    </xf>
    <xf numFmtId="0" fontId="12" fillId="0" borderId="0" xfId="0" applyFont="1"/>
    <xf numFmtId="0" fontId="0" fillId="10" borderId="0" xfId="0" applyFill="1"/>
    <xf numFmtId="0" fontId="0" fillId="0" borderId="1" xfId="0" applyBorder="1" applyAlignment="1">
      <alignment vertical="center" wrapText="1"/>
    </xf>
    <xf numFmtId="0" fontId="0" fillId="10" borderId="1" xfId="0" applyFill="1" applyBorder="1"/>
    <xf numFmtId="0" fontId="0" fillId="0" borderId="0" xfId="0" applyAlignment="1">
      <alignment horizontal="center"/>
    </xf>
    <xf numFmtId="0" fontId="11" fillId="0" borderId="0" xfId="1"/>
    <xf numFmtId="0" fontId="15" fillId="0" borderId="0" xfId="0" applyFont="1"/>
    <xf numFmtId="0" fontId="16" fillId="0" borderId="0" xfId="0" applyFont="1"/>
    <xf numFmtId="0" fontId="0" fillId="0" borderId="0" xfId="0" applyAlignment="1">
      <alignment vertical="center" wrapText="1"/>
    </xf>
    <xf numFmtId="0" fontId="18" fillId="0" borderId="0" xfId="0" applyFont="1"/>
    <xf numFmtId="0" fontId="12" fillId="0" borderId="1" xfId="0" applyFont="1" applyBorder="1"/>
    <xf numFmtId="0" fontId="12" fillId="12" borderId="0" xfId="0" applyFont="1" applyFill="1"/>
    <xf numFmtId="0" fontId="12" fillId="11" borderId="1" xfId="0" applyFont="1" applyFill="1" applyBorder="1"/>
    <xf numFmtId="0" fontId="0" fillId="0" borderId="2" xfId="0" applyBorder="1" applyAlignment="1">
      <alignment vertical="center" wrapText="1"/>
    </xf>
    <xf numFmtId="0" fontId="0" fillId="13" borderId="1" xfId="0" applyFill="1" applyBorder="1" applyAlignment="1">
      <alignment vertical="center" wrapText="1"/>
    </xf>
    <xf numFmtId="0" fontId="0" fillId="13" borderId="1" xfId="0" applyFill="1" applyBorder="1"/>
    <xf numFmtId="0" fontId="17" fillId="0" borderId="0" xfId="0" applyFont="1"/>
    <xf numFmtId="0" fontId="20" fillId="4" borderId="0" xfId="0" applyFont="1" applyFill="1" applyAlignment="1">
      <alignment vertical="center" wrapText="1"/>
    </xf>
    <xf numFmtId="0" fontId="17" fillId="4" borderId="0" xfId="0" applyFont="1" applyFill="1" applyAlignment="1">
      <alignment vertical="center" wrapText="1"/>
    </xf>
    <xf numFmtId="0" fontId="22" fillId="0" borderId="0" xfId="0" applyFont="1"/>
    <xf numFmtId="0" fontId="0" fillId="0" borderId="7" xfId="0" applyBorder="1"/>
    <xf numFmtId="0" fontId="15" fillId="0" borderId="0" xfId="0" applyFont="1" applyAlignment="1">
      <alignment horizontal="center"/>
    </xf>
    <xf numFmtId="0" fontId="0" fillId="0" borderId="6" xfId="0" applyBorder="1"/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 applyAlignment="1">
      <alignment vertical="center" wrapText="1"/>
    </xf>
    <xf numFmtId="0" fontId="0" fillId="14" borderId="1" xfId="0" applyFill="1" applyBorder="1" applyAlignment="1">
      <alignment vertical="center" wrapText="1"/>
    </xf>
    <xf numFmtId="0" fontId="4" fillId="8" borderId="1" xfId="0" applyFont="1" applyFill="1" applyBorder="1"/>
    <xf numFmtId="0" fontId="9" fillId="8" borderId="1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8" xfId="0" applyBorder="1"/>
    <xf numFmtId="0" fontId="0" fillId="0" borderId="26" xfId="0" applyBorder="1"/>
    <xf numFmtId="0" fontId="0" fillId="0" borderId="9" xfId="0" applyBorder="1"/>
    <xf numFmtId="0" fontId="0" fillId="0" borderId="28" xfId="0" applyBorder="1"/>
    <xf numFmtId="0" fontId="0" fillId="0" borderId="29" xfId="0" applyBorder="1"/>
    <xf numFmtId="0" fontId="0" fillId="0" borderId="10" xfId="0" applyBorder="1"/>
    <xf numFmtId="0" fontId="0" fillId="0" borderId="27" xfId="0" applyBorder="1"/>
    <xf numFmtId="0" fontId="0" fillId="0" borderId="11" xfId="0" applyBorder="1"/>
    <xf numFmtId="0" fontId="0" fillId="0" borderId="30" xfId="0" applyBorder="1"/>
    <xf numFmtId="0" fontId="0" fillId="10" borderId="1" xfId="0" applyFill="1" applyBorder="1" applyAlignment="1">
      <alignment horizontal="center"/>
    </xf>
    <xf numFmtId="0" fontId="19" fillId="12" borderId="8" xfId="0" applyFont="1" applyFill="1" applyBorder="1" applyAlignment="1">
      <alignment horizontal="center" wrapText="1"/>
    </xf>
    <xf numFmtId="0" fontId="21" fillId="12" borderId="9" xfId="0" applyFont="1" applyFill="1" applyBorder="1" applyAlignment="1">
      <alignment horizontal="center" wrapText="1"/>
    </xf>
    <xf numFmtId="0" fontId="21" fillId="12" borderId="10" xfId="0" applyFont="1" applyFill="1" applyBorder="1" applyAlignment="1">
      <alignment horizontal="center" wrapText="1"/>
    </xf>
    <xf numFmtId="0" fontId="21" fillId="12" borderId="11" xfId="0" applyFont="1" applyFill="1" applyBorder="1" applyAlignment="1">
      <alignment horizontal="center" wrapText="1"/>
    </xf>
    <xf numFmtId="0" fontId="19" fillId="15" borderId="8" xfId="0" applyFont="1" applyFill="1" applyBorder="1" applyAlignment="1">
      <alignment horizontal="center"/>
    </xf>
    <xf numFmtId="0" fontId="19" fillId="15" borderId="9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49" fontId="19" fillId="0" borderId="8" xfId="0" quotePrefix="1" applyNumberFormat="1" applyFont="1" applyBorder="1" applyAlignment="1">
      <alignment horizontal="center"/>
    </xf>
    <xf numFmtId="49" fontId="19" fillId="0" borderId="26" xfId="0" applyNumberFormat="1" applyFont="1" applyBorder="1" applyAlignment="1">
      <alignment horizontal="center"/>
    </xf>
    <xf numFmtId="49" fontId="19" fillId="0" borderId="9" xfId="0" applyNumberFormat="1" applyFont="1" applyBorder="1" applyAlignment="1">
      <alignment horizontal="center"/>
    </xf>
    <xf numFmtId="49" fontId="19" fillId="0" borderId="10" xfId="0" applyNumberFormat="1" applyFont="1" applyBorder="1" applyAlignment="1">
      <alignment horizontal="center"/>
    </xf>
    <xf numFmtId="49" fontId="19" fillId="0" borderId="27" xfId="0" applyNumberFormat="1" applyFont="1" applyBorder="1" applyAlignment="1">
      <alignment horizontal="center"/>
    </xf>
    <xf numFmtId="49" fontId="19" fillId="0" borderId="11" xfId="0" applyNumberFormat="1" applyFont="1" applyBorder="1" applyAlignment="1">
      <alignment horizontal="center"/>
    </xf>
    <xf numFmtId="49" fontId="24" fillId="0" borderId="8" xfId="0" applyNumberFormat="1" applyFont="1" applyBorder="1" applyAlignment="1">
      <alignment horizontal="center"/>
    </xf>
    <xf numFmtId="49" fontId="24" fillId="0" borderId="26" xfId="0" applyNumberFormat="1" applyFont="1" applyBorder="1" applyAlignment="1">
      <alignment horizontal="center"/>
    </xf>
    <xf numFmtId="49" fontId="24" fillId="0" borderId="9" xfId="0" applyNumberFormat="1" applyFont="1" applyBorder="1" applyAlignment="1">
      <alignment horizontal="center"/>
    </xf>
    <xf numFmtId="49" fontId="24" fillId="0" borderId="10" xfId="0" applyNumberFormat="1" applyFont="1" applyBorder="1" applyAlignment="1">
      <alignment horizontal="center"/>
    </xf>
    <xf numFmtId="49" fontId="24" fillId="0" borderId="27" xfId="0" applyNumberFormat="1" applyFont="1" applyBorder="1" applyAlignment="1">
      <alignment horizontal="center"/>
    </xf>
    <xf numFmtId="49" fontId="24" fillId="0" borderId="11" xfId="0" applyNumberFormat="1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9" fillId="11" borderId="8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1" borderId="9" xfId="0" applyFont="1" applyFill="1" applyBorder="1" applyAlignment="1">
      <alignment horizontal="center"/>
    </xf>
    <xf numFmtId="0" fontId="19" fillId="11" borderId="10" xfId="0" applyFont="1" applyFill="1" applyBorder="1" applyAlignment="1">
      <alignment horizontal="center"/>
    </xf>
    <xf numFmtId="0" fontId="19" fillId="11" borderId="27" xfId="0" applyFont="1" applyFill="1" applyBorder="1" applyAlignment="1">
      <alignment horizontal="center"/>
    </xf>
    <xf numFmtId="0" fontId="19" fillId="11" borderId="11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</cellXfs>
  <cellStyles count="2">
    <cellStyle name="一般" xfId="0" builtinId="0"/>
    <cellStyle name="超連結" xfId="1" builtinId="8"/>
  </cellStyles>
  <dxfs count="2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219075</xdr:colOff>
      <xdr:row>2</xdr:row>
      <xdr:rowOff>0</xdr:rowOff>
    </xdr:from>
    <xdr:to>
      <xdr:col>22</xdr:col>
      <xdr:colOff>457200</xdr:colOff>
      <xdr:row>12</xdr:row>
      <xdr:rowOff>171450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7075" y="419100"/>
          <a:ext cx="8467725" cy="2266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342900</xdr:colOff>
      <xdr:row>1</xdr:row>
      <xdr:rowOff>161925</xdr:rowOff>
    </xdr:from>
    <xdr:to>
      <xdr:col>8</xdr:col>
      <xdr:colOff>327597</xdr:colOff>
      <xdr:row>26</xdr:row>
      <xdr:rowOff>9525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371475"/>
          <a:ext cx="5471097" cy="508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16</xdr:row>
      <xdr:rowOff>47624</xdr:rowOff>
    </xdr:from>
    <xdr:to>
      <xdr:col>21</xdr:col>
      <xdr:colOff>662909</xdr:colOff>
      <xdr:row>46</xdr:row>
      <xdr:rowOff>95249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3400424"/>
          <a:ext cx="8187659" cy="6334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19050</xdr:rowOff>
    </xdr:from>
    <xdr:to>
      <xdr:col>9</xdr:col>
      <xdr:colOff>561975</xdr:colOff>
      <xdr:row>61</xdr:row>
      <xdr:rowOff>19050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86450"/>
          <a:ext cx="6734175" cy="691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504031</xdr:colOff>
      <xdr:row>2</xdr:row>
      <xdr:rowOff>138384</xdr:rowOff>
    </xdr:from>
    <xdr:to>
      <xdr:col>14</xdr:col>
      <xdr:colOff>407334</xdr:colOff>
      <xdr:row>14</xdr:row>
      <xdr:rowOff>186775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3094" y="535259"/>
          <a:ext cx="6769240" cy="24296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0</xdr:rowOff>
    </xdr:from>
    <xdr:to>
      <xdr:col>14</xdr:col>
      <xdr:colOff>237000</xdr:colOff>
      <xdr:row>25</xdr:row>
      <xdr:rowOff>39115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0"/>
          <a:ext cx="9000000" cy="8819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28575</xdr:rowOff>
        </xdr:from>
        <xdr:to>
          <xdr:col>14</xdr:col>
          <xdr:colOff>590550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9</xdr:row>
          <xdr:rowOff>28575</xdr:rowOff>
        </xdr:from>
        <xdr:to>
          <xdr:col>8</xdr:col>
          <xdr:colOff>447675</xdr:colOff>
          <xdr:row>9</xdr:row>
          <xdr:rowOff>190500</xdr:rowOff>
        </xdr:to>
        <xdr:sp macro="" textlink="">
          <xdr:nvSpPr>
            <xdr:cNvPr id="8194" name="CheckBox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9</xdr:row>
          <xdr:rowOff>38100</xdr:rowOff>
        </xdr:from>
        <xdr:to>
          <xdr:col>9</xdr:col>
          <xdr:colOff>476250</xdr:colOff>
          <xdr:row>10</xdr:row>
          <xdr:rowOff>0</xdr:rowOff>
        </xdr:to>
        <xdr:sp macro="" textlink="">
          <xdr:nvSpPr>
            <xdr:cNvPr id="8195" name="CheckBox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9</xdr:row>
          <xdr:rowOff>28575</xdr:rowOff>
        </xdr:from>
        <xdr:to>
          <xdr:col>10</xdr:col>
          <xdr:colOff>466725</xdr:colOff>
          <xdr:row>9</xdr:row>
          <xdr:rowOff>190500</xdr:rowOff>
        </xdr:to>
        <xdr:sp macro="" textlink="">
          <xdr:nvSpPr>
            <xdr:cNvPr id="8196" name="CheckBox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9</xdr:row>
          <xdr:rowOff>38100</xdr:rowOff>
        </xdr:from>
        <xdr:to>
          <xdr:col>11</xdr:col>
          <xdr:colOff>457200</xdr:colOff>
          <xdr:row>10</xdr:row>
          <xdr:rowOff>0</xdr:rowOff>
        </xdr:to>
        <xdr:sp macro="" textlink="">
          <xdr:nvSpPr>
            <xdr:cNvPr id="8197" name="CheckBox4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9</xdr:row>
          <xdr:rowOff>38100</xdr:rowOff>
        </xdr:from>
        <xdr:to>
          <xdr:col>12</xdr:col>
          <xdr:colOff>447675</xdr:colOff>
          <xdr:row>10</xdr:row>
          <xdr:rowOff>0</xdr:rowOff>
        </xdr:to>
        <xdr:sp macro="" textlink="">
          <xdr:nvSpPr>
            <xdr:cNvPr id="8198" name="CheckBox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28575</xdr:rowOff>
        </xdr:from>
        <xdr:to>
          <xdr:col>14</xdr:col>
          <xdr:colOff>590550</xdr:colOff>
          <xdr:row>4</xdr:row>
          <xdr:rowOff>190500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624417</xdr:colOff>
      <xdr:row>0</xdr:row>
      <xdr:rowOff>0</xdr:rowOff>
    </xdr:from>
    <xdr:to>
      <xdr:col>6</xdr:col>
      <xdr:colOff>188984</xdr:colOff>
      <xdr:row>42</xdr:row>
      <xdr:rowOff>125895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4417" y="0"/>
          <a:ext cx="3692067" cy="901589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624417</xdr:colOff>
      <xdr:row>0</xdr:row>
      <xdr:rowOff>0</xdr:rowOff>
    </xdr:from>
    <xdr:to>
      <xdr:col>6</xdr:col>
      <xdr:colOff>188984</xdr:colOff>
      <xdr:row>42</xdr:row>
      <xdr:rowOff>20061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4417" y="0"/>
          <a:ext cx="3679367" cy="8526945"/>
        </a:xfrm>
        <a:prstGeom prst="rect">
          <a:avLst/>
        </a:prstGeom>
      </xdr:spPr>
    </xdr:pic>
    <xdr:clientData/>
  </xdr:twoCellAnchor>
  <xdr:twoCellAnchor editAs="oneCell">
    <xdr:from>
      <xdr:col>7</xdr:col>
      <xdr:colOff>258233</xdr:colOff>
      <xdr:row>3</xdr:row>
      <xdr:rowOff>52920</xdr:rowOff>
    </xdr:from>
    <xdr:to>
      <xdr:col>8</xdr:col>
      <xdr:colOff>317499</xdr:colOff>
      <xdr:row>7</xdr:row>
      <xdr:rowOff>127001</xdr:rowOff>
    </xdr:to>
    <xdr:pic>
      <xdr:nvPicPr>
        <xdr:cNvPr id="3" name="圖片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0704" t="1059" r="39058" b="88718"/>
        <a:stretch/>
      </xdr:blipFill>
      <xdr:spPr>
        <a:xfrm>
          <a:off x="5073650" y="666753"/>
          <a:ext cx="747182" cy="878414"/>
        </a:xfrm>
        <a:prstGeom prst="rect">
          <a:avLst/>
        </a:prstGeom>
      </xdr:spPr>
    </xdr:pic>
    <xdr:clientData/>
  </xdr:twoCellAnchor>
  <xdr:twoCellAnchor editAs="oneCell">
    <xdr:from>
      <xdr:col>9</xdr:col>
      <xdr:colOff>611717</xdr:colOff>
      <xdr:row>3</xdr:row>
      <xdr:rowOff>57154</xdr:rowOff>
    </xdr:from>
    <xdr:to>
      <xdr:col>10</xdr:col>
      <xdr:colOff>670982</xdr:colOff>
      <xdr:row>7</xdr:row>
      <xdr:rowOff>131235</xdr:rowOff>
    </xdr:to>
    <xdr:pic>
      <xdr:nvPicPr>
        <xdr:cNvPr id="4" name="圖片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0704" t="1059" r="39058" b="88718"/>
        <a:stretch/>
      </xdr:blipFill>
      <xdr:spPr>
        <a:xfrm rot="10800000">
          <a:off x="6802967" y="681571"/>
          <a:ext cx="747182" cy="8784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14288</xdr:colOff>
          <xdr:row>12</xdr:row>
          <xdr:rowOff>28575</xdr:rowOff>
        </xdr:from>
        <xdr:to>
          <xdr:col>35</xdr:col>
          <xdr:colOff>676275</xdr:colOff>
          <xdr:row>14</xdr:row>
          <xdr:rowOff>100013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Build_0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66675</xdr:colOff>
          <xdr:row>5</xdr:row>
          <xdr:rowOff>14288</xdr:rowOff>
        </xdr:from>
        <xdr:to>
          <xdr:col>35</xdr:col>
          <xdr:colOff>528638</xdr:colOff>
          <xdr:row>7</xdr:row>
          <xdr:rowOff>95250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4763</xdr:colOff>
          <xdr:row>14</xdr:row>
          <xdr:rowOff>152400</xdr:rowOff>
        </xdr:from>
        <xdr:to>
          <xdr:col>35</xdr:col>
          <xdr:colOff>666750</xdr:colOff>
          <xdr:row>17</xdr:row>
          <xdr:rowOff>19050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17</xdr:row>
          <xdr:rowOff>66675</xdr:rowOff>
        </xdr:from>
        <xdr:to>
          <xdr:col>35</xdr:col>
          <xdr:colOff>671513</xdr:colOff>
          <xdr:row>19</xdr:row>
          <xdr:rowOff>142875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Build_2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71438</xdr:colOff>
          <xdr:row>1</xdr:row>
          <xdr:rowOff>85725</xdr:rowOff>
        </xdr:from>
        <xdr:to>
          <xdr:col>35</xdr:col>
          <xdr:colOff>533400</xdr:colOff>
          <xdr:row>4</xdr:row>
          <xdr:rowOff>138113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Build_all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57150</xdr:colOff>
          <xdr:row>20</xdr:row>
          <xdr:rowOff>28575</xdr:rowOff>
        </xdr:from>
        <xdr:to>
          <xdr:col>34</xdr:col>
          <xdr:colOff>638175</xdr:colOff>
          <xdr:row>21</xdr:row>
          <xdr:rowOff>157163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20</xdr:row>
          <xdr:rowOff>19050</xdr:rowOff>
        </xdr:from>
        <xdr:to>
          <xdr:col>35</xdr:col>
          <xdr:colOff>619125</xdr:colOff>
          <xdr:row>21</xdr:row>
          <xdr:rowOff>147638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E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52388</xdr:colOff>
          <xdr:row>22</xdr:row>
          <xdr:rowOff>4763</xdr:rowOff>
        </xdr:from>
        <xdr:to>
          <xdr:col>34</xdr:col>
          <xdr:colOff>633413</xdr:colOff>
          <xdr:row>23</xdr:row>
          <xdr:rowOff>133350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E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22</xdr:row>
          <xdr:rowOff>14288</xdr:rowOff>
        </xdr:from>
        <xdr:to>
          <xdr:col>35</xdr:col>
          <xdr:colOff>609600</xdr:colOff>
          <xdr:row>23</xdr:row>
          <xdr:rowOff>142875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E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47625</xdr:rowOff>
        </xdr:from>
        <xdr:to>
          <xdr:col>14</xdr:col>
          <xdr:colOff>561975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6</xdr:row>
          <xdr:rowOff>0</xdr:rowOff>
        </xdr:from>
        <xdr:to>
          <xdr:col>14</xdr:col>
          <xdr:colOff>571500</xdr:colOff>
          <xdr:row>7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Refer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47625</xdr:rowOff>
        </xdr:from>
        <xdr:to>
          <xdr:col>14</xdr:col>
          <xdr:colOff>561975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6</xdr:row>
          <xdr:rowOff>0</xdr:rowOff>
        </xdr:from>
        <xdr:to>
          <xdr:col>14</xdr:col>
          <xdr:colOff>571500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Refer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28575</xdr:rowOff>
        </xdr:from>
        <xdr:to>
          <xdr:col>14</xdr:col>
          <xdr:colOff>590550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9</xdr:row>
          <xdr:rowOff>28575</xdr:rowOff>
        </xdr:from>
        <xdr:to>
          <xdr:col>8</xdr:col>
          <xdr:colOff>447675</xdr:colOff>
          <xdr:row>9</xdr:row>
          <xdr:rowOff>190500</xdr:rowOff>
        </xdr:to>
        <xdr:sp macro="" textlink="">
          <xdr:nvSpPr>
            <xdr:cNvPr id="3074" name="Check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1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9</xdr:row>
          <xdr:rowOff>38100</xdr:rowOff>
        </xdr:from>
        <xdr:to>
          <xdr:col>9</xdr:col>
          <xdr:colOff>476250</xdr:colOff>
          <xdr:row>10</xdr:row>
          <xdr:rowOff>0</xdr:rowOff>
        </xdr:to>
        <xdr:sp macro="" textlink="">
          <xdr:nvSpPr>
            <xdr:cNvPr id="3075" name="Check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1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9</xdr:row>
          <xdr:rowOff>28575</xdr:rowOff>
        </xdr:from>
        <xdr:to>
          <xdr:col>10</xdr:col>
          <xdr:colOff>466725</xdr:colOff>
          <xdr:row>9</xdr:row>
          <xdr:rowOff>190500</xdr:rowOff>
        </xdr:to>
        <xdr:sp macro="" textlink="">
          <xdr:nvSpPr>
            <xdr:cNvPr id="3076" name="CheckBox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1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9</xdr:row>
          <xdr:rowOff>38100</xdr:rowOff>
        </xdr:from>
        <xdr:to>
          <xdr:col>11</xdr:col>
          <xdr:colOff>457200</xdr:colOff>
          <xdr:row>10</xdr:row>
          <xdr:rowOff>0</xdr:rowOff>
        </xdr:to>
        <xdr:sp macro="" textlink="">
          <xdr:nvSpPr>
            <xdr:cNvPr id="3077" name="CheckBox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1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9</xdr:row>
          <xdr:rowOff>38100</xdr:rowOff>
        </xdr:from>
        <xdr:to>
          <xdr:col>12</xdr:col>
          <xdr:colOff>447675</xdr:colOff>
          <xdr:row>10</xdr:row>
          <xdr:rowOff>0</xdr:rowOff>
        </xdr:to>
        <xdr:sp macro="" textlink="">
          <xdr:nvSpPr>
            <xdr:cNvPr id="3078" name="CheckBox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1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bombmanual.com/manual/1/pdf/Bomb-Defusal-Manual_1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ktane.timwi.de/HTML/Alphabet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ktane.timwi.de/HTML/Combination%20Lock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ktane.timwi.de/HTML/Crazy%20Talk.htm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ktane.timwi.de/HTML/Hexamaze%20interactive%20(samfun123)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ktane.timwi.de/HTML/Switches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ktane.timwi.de/HTML/Switches.html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ktane.timwi.de/HTML/Two%20Bits.html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0"/>
  <dimension ref="B1:E62"/>
  <sheetViews>
    <sheetView zoomScale="91" workbookViewId="0">
      <selection activeCell="B1" sqref="B1"/>
    </sheetView>
  </sheetViews>
  <sheetFormatPr defaultRowHeight="15.75"/>
  <sheetData>
    <row r="1" spans="2:2">
      <c r="B1" s="31" t="s">
        <v>309</v>
      </c>
    </row>
    <row r="62" spans="5:5">
      <c r="E62" t="s">
        <v>234</v>
      </c>
    </row>
  </sheetData>
  <phoneticPr fontId="1" type="noConversion"/>
  <hyperlinks>
    <hyperlink ref="B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B2:D27"/>
  <sheetViews>
    <sheetView topLeftCell="A14" zoomScale="120" zoomScaleNormal="120" workbookViewId="0">
      <selection activeCell="F20" sqref="F20"/>
    </sheetView>
  </sheetViews>
  <sheetFormatPr defaultRowHeight="15.75"/>
  <cols>
    <col min="3" max="3" width="9.375" bestFit="1" customWidth="1"/>
    <col min="4" max="4" width="7.625" customWidth="1"/>
  </cols>
  <sheetData>
    <row r="2" spans="2:4">
      <c r="B2" s="25" t="s">
        <v>101</v>
      </c>
      <c r="C2" s="25" t="s">
        <v>109</v>
      </c>
      <c r="D2">
        <v>1</v>
      </c>
    </row>
    <row r="3" spans="2:4">
      <c r="B3" s="25" t="s">
        <v>102</v>
      </c>
      <c r="C3" s="25" t="s">
        <v>110</v>
      </c>
      <c r="D3">
        <v>2</v>
      </c>
    </row>
    <row r="4" spans="2:4">
      <c r="B4" s="25" t="s">
        <v>103</v>
      </c>
      <c r="C4" s="25" t="s">
        <v>111</v>
      </c>
      <c r="D4">
        <v>3</v>
      </c>
    </row>
    <row r="5" spans="2:4">
      <c r="B5" s="25" t="s">
        <v>105</v>
      </c>
      <c r="C5" s="25" t="s">
        <v>112</v>
      </c>
      <c r="D5">
        <v>4</v>
      </c>
    </row>
    <row r="6" spans="2:4">
      <c r="B6" s="25" t="s">
        <v>104</v>
      </c>
      <c r="C6" s="25" t="s">
        <v>113</v>
      </c>
      <c r="D6">
        <v>5</v>
      </c>
    </row>
    <row r="7" spans="2:4">
      <c r="B7" s="25" t="s">
        <v>106</v>
      </c>
      <c r="C7" s="25" t="s">
        <v>114</v>
      </c>
      <c r="D7">
        <v>6</v>
      </c>
    </row>
    <row r="8" spans="2:4">
      <c r="B8" s="25" t="s">
        <v>107</v>
      </c>
      <c r="C8" s="25" t="s">
        <v>115</v>
      </c>
      <c r="D8">
        <v>7</v>
      </c>
    </row>
    <row r="9" spans="2:4">
      <c r="B9" s="25" t="s">
        <v>108</v>
      </c>
      <c r="C9" s="25" t="s">
        <v>116</v>
      </c>
      <c r="D9">
        <v>8</v>
      </c>
    </row>
    <row r="10" spans="2:4">
      <c r="B10" s="25" t="s">
        <v>117</v>
      </c>
      <c r="C10" s="25" t="s">
        <v>118</v>
      </c>
      <c r="D10">
        <v>9</v>
      </c>
    </row>
    <row r="11" spans="2:4">
      <c r="B11" s="25" t="s">
        <v>119</v>
      </c>
      <c r="C11" s="25" t="s">
        <v>120</v>
      </c>
      <c r="D11">
        <v>10</v>
      </c>
    </row>
    <row r="12" spans="2:4">
      <c r="B12" s="25" t="s">
        <v>121</v>
      </c>
      <c r="C12" s="25" t="s">
        <v>122</v>
      </c>
      <c r="D12">
        <v>11</v>
      </c>
    </row>
    <row r="13" spans="2:4">
      <c r="B13" s="25" t="s">
        <v>123</v>
      </c>
      <c r="C13" s="25" t="s">
        <v>124</v>
      </c>
      <c r="D13">
        <v>12</v>
      </c>
    </row>
    <row r="14" spans="2:4">
      <c r="B14" s="25" t="s">
        <v>125</v>
      </c>
      <c r="C14" s="25" t="s">
        <v>126</v>
      </c>
      <c r="D14">
        <v>13</v>
      </c>
    </row>
    <row r="15" spans="2:4">
      <c r="B15" s="25" t="s">
        <v>127</v>
      </c>
      <c r="C15" s="25" t="s">
        <v>128</v>
      </c>
      <c r="D15">
        <v>14</v>
      </c>
    </row>
    <row r="16" spans="2:4">
      <c r="B16" s="25" t="s">
        <v>129</v>
      </c>
      <c r="C16" s="25" t="s">
        <v>130</v>
      </c>
      <c r="D16">
        <v>15</v>
      </c>
    </row>
    <row r="17" spans="2:4">
      <c r="B17" s="25" t="s">
        <v>131</v>
      </c>
      <c r="C17" s="25" t="s">
        <v>132</v>
      </c>
      <c r="D17">
        <v>16</v>
      </c>
    </row>
    <row r="18" spans="2:4">
      <c r="B18" s="25" t="s">
        <v>133</v>
      </c>
      <c r="C18" s="25" t="s">
        <v>134</v>
      </c>
      <c r="D18">
        <v>17</v>
      </c>
    </row>
    <row r="19" spans="2:4">
      <c r="B19" s="25" t="s">
        <v>135</v>
      </c>
      <c r="C19" s="25" t="s">
        <v>136</v>
      </c>
      <c r="D19">
        <v>18</v>
      </c>
    </row>
    <row r="20" spans="2:4">
      <c r="B20" s="25" t="s">
        <v>137</v>
      </c>
      <c r="C20" s="25" t="s">
        <v>138</v>
      </c>
      <c r="D20">
        <v>19</v>
      </c>
    </row>
    <row r="21" spans="2:4">
      <c r="B21" s="25" t="s">
        <v>139</v>
      </c>
      <c r="C21" s="25" t="s">
        <v>140</v>
      </c>
      <c r="D21">
        <v>20</v>
      </c>
    </row>
    <row r="22" spans="2:4">
      <c r="B22" s="25" t="s">
        <v>141</v>
      </c>
      <c r="C22" s="25" t="s">
        <v>142</v>
      </c>
      <c r="D22">
        <v>21</v>
      </c>
    </row>
    <row r="23" spans="2:4">
      <c r="B23" s="25" t="s">
        <v>143</v>
      </c>
      <c r="C23" s="25" t="s">
        <v>144</v>
      </c>
      <c r="D23">
        <v>22</v>
      </c>
    </row>
    <row r="24" spans="2:4">
      <c r="B24" s="25" t="s">
        <v>145</v>
      </c>
      <c r="C24" s="25" t="s">
        <v>146</v>
      </c>
      <c r="D24">
        <v>23</v>
      </c>
    </row>
    <row r="25" spans="2:4">
      <c r="B25" s="25" t="s">
        <v>147</v>
      </c>
      <c r="C25" s="25" t="s">
        <v>148</v>
      </c>
      <c r="D25">
        <v>24</v>
      </c>
    </row>
    <row r="26" spans="2:4">
      <c r="B26" s="25" t="s">
        <v>149</v>
      </c>
      <c r="C26" s="25" t="s">
        <v>150</v>
      </c>
      <c r="D26">
        <v>25</v>
      </c>
    </row>
    <row r="27" spans="2:4">
      <c r="B27" s="25" t="s">
        <v>151</v>
      </c>
      <c r="C27" s="25" t="s">
        <v>152</v>
      </c>
      <c r="D27">
        <v>26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4">
    <tabColor theme="8" tint="0.79998168889431442"/>
  </sheetPr>
  <dimension ref="P3:AA34"/>
  <sheetViews>
    <sheetView topLeftCell="C4" zoomScale="71" zoomScaleNormal="90" workbookViewId="0">
      <selection activeCell="T13" sqref="T13"/>
    </sheetView>
  </sheetViews>
  <sheetFormatPr defaultRowHeight="15.75"/>
  <cols>
    <col min="17" max="17" width="26.75" customWidth="1"/>
    <col min="18" max="18" width="18.625" customWidth="1"/>
    <col min="19" max="19" width="9.5" bestFit="1" customWidth="1"/>
    <col min="22" max="22" width="9.875" bestFit="1" customWidth="1"/>
  </cols>
  <sheetData>
    <row r="3" spans="16:27">
      <c r="S3" s="27" t="str">
        <f>MID($R$10,1,1)</f>
        <v/>
      </c>
      <c r="T3" s="27" t="str">
        <f>MID($R$10,2,1)</f>
        <v/>
      </c>
      <c r="U3" s="27" t="str">
        <f>MID($R$10,3,1)</f>
        <v/>
      </c>
      <c r="V3" s="27" t="str">
        <f>MID($R$10,4,1)</f>
        <v/>
      </c>
      <c r="W3" s="27" t="str">
        <f>MID($R$10,5,1)</f>
        <v/>
      </c>
      <c r="X3" s="27" t="str">
        <f>MID($R$10,6,1)</f>
        <v/>
      </c>
      <c r="Z3" t="s">
        <v>208</v>
      </c>
      <c r="AA3">
        <v>2</v>
      </c>
    </row>
    <row r="4" spans="16:27">
      <c r="R4" t="s">
        <v>213</v>
      </c>
      <c r="S4" s="27">
        <f t="shared" ref="S4:X4" si="0">IFERROR(VALUE(S3),0)</f>
        <v>0</v>
      </c>
      <c r="T4" s="27">
        <f t="shared" si="0"/>
        <v>0</v>
      </c>
      <c r="U4" s="27">
        <f t="shared" si="0"/>
        <v>0</v>
      </c>
      <c r="V4" s="27">
        <f t="shared" si="0"/>
        <v>0</v>
      </c>
      <c r="W4" s="27">
        <f t="shared" si="0"/>
        <v>0</v>
      </c>
      <c r="X4" s="27">
        <f t="shared" si="0"/>
        <v>0</v>
      </c>
      <c r="Y4" t="s">
        <v>179</v>
      </c>
      <c r="Z4" t="s">
        <v>209</v>
      </c>
      <c r="AA4">
        <v>3</v>
      </c>
    </row>
    <row r="5" spans="16:27">
      <c r="R5" t="s">
        <v>214</v>
      </c>
      <c r="S5" s="27" t="b">
        <f t="shared" ref="S5:X5" si="1">ISNUMBER(MATCH(S3,$Z$3:$Z$7,0))</f>
        <v>0</v>
      </c>
      <c r="T5" s="27" t="b">
        <f t="shared" si="1"/>
        <v>0</v>
      </c>
      <c r="U5" s="27" t="b">
        <f t="shared" si="1"/>
        <v>0</v>
      </c>
      <c r="V5" s="27" t="b">
        <f t="shared" si="1"/>
        <v>0</v>
      </c>
      <c r="W5" s="27" t="b">
        <f t="shared" si="1"/>
        <v>0</v>
      </c>
      <c r="X5" s="27" t="b">
        <f t="shared" si="1"/>
        <v>0</v>
      </c>
      <c r="Y5" t="s">
        <v>180</v>
      </c>
      <c r="Z5" t="s">
        <v>210</v>
      </c>
      <c r="AA5">
        <v>5</v>
      </c>
    </row>
    <row r="6" spans="16:27">
      <c r="S6" s="27"/>
      <c r="T6" s="27"/>
      <c r="U6" s="27"/>
      <c r="V6" s="27"/>
      <c r="W6" s="27"/>
      <c r="X6" s="27"/>
      <c r="Z6" t="s">
        <v>211</v>
      </c>
      <c r="AA6">
        <v>7</v>
      </c>
    </row>
    <row r="7" spans="16:27">
      <c r="Q7" t="s">
        <v>155</v>
      </c>
      <c r="S7" s="27"/>
      <c r="T7" s="27"/>
      <c r="U7" s="27"/>
      <c r="V7" s="27"/>
      <c r="W7" s="27"/>
      <c r="X7" s="27"/>
      <c r="Z7" t="s">
        <v>212</v>
      </c>
      <c r="AA7">
        <v>11</v>
      </c>
    </row>
    <row r="8" spans="16:27">
      <c r="S8" s="27"/>
      <c r="T8" s="27"/>
      <c r="U8" s="27"/>
      <c r="V8" s="27"/>
      <c r="W8" s="27"/>
      <c r="X8" s="27"/>
      <c r="AA8">
        <v>13</v>
      </c>
    </row>
    <row r="9" spans="16:27">
      <c r="Q9" s="35" t="s">
        <v>215</v>
      </c>
      <c r="AA9">
        <v>17</v>
      </c>
    </row>
    <row r="10" spans="16:27" ht="36">
      <c r="P10" s="33" t="s">
        <v>169</v>
      </c>
      <c r="Q10" s="26" t="s">
        <v>156</v>
      </c>
      <c r="R10" s="37"/>
      <c r="T10" s="36" t="s">
        <v>220</v>
      </c>
      <c r="U10" s="36" t="s">
        <v>221</v>
      </c>
      <c r="V10" s="36" t="s">
        <v>222</v>
      </c>
      <c r="AA10">
        <v>19</v>
      </c>
    </row>
    <row r="11" spans="16:27" ht="36">
      <c r="Q11" s="26" t="s">
        <v>232</v>
      </c>
      <c r="R11" s="37"/>
      <c r="T11" s="38">
        <f>SUM(T15:T19)</f>
        <v>0</v>
      </c>
      <c r="U11" s="38">
        <f>SUM(V15:V19)</f>
        <v>-2</v>
      </c>
      <c r="V11" s="38">
        <f>SUM(X15:X19)</f>
        <v>4</v>
      </c>
      <c r="AA11">
        <v>23</v>
      </c>
    </row>
    <row r="12" spans="16:27" ht="36">
      <c r="P12" s="33" t="s">
        <v>170</v>
      </c>
      <c r="Q12" s="26" t="s">
        <v>171</v>
      </c>
      <c r="R12" s="37"/>
      <c r="AA12">
        <v>29</v>
      </c>
    </row>
    <row r="13" spans="16:27" ht="36">
      <c r="P13" s="33"/>
      <c r="Q13" s="26" t="s">
        <v>216</v>
      </c>
      <c r="R13" s="37"/>
      <c r="AA13">
        <v>31</v>
      </c>
    </row>
    <row r="14" spans="16:27" ht="36">
      <c r="Q14" s="26" t="s">
        <v>217</v>
      </c>
      <c r="R14" s="37"/>
      <c r="S14" s="82" t="s">
        <v>166</v>
      </c>
      <c r="T14" s="82"/>
      <c r="U14" s="82" t="s">
        <v>218</v>
      </c>
      <c r="V14" s="82"/>
      <c r="W14" s="82" t="s">
        <v>230</v>
      </c>
      <c r="X14" s="82"/>
      <c r="AA14">
        <v>37</v>
      </c>
    </row>
    <row r="15" spans="16:27" ht="36">
      <c r="Q15" s="26" t="s">
        <v>206</v>
      </c>
      <c r="R15" s="37"/>
      <c r="S15" s="29" t="s">
        <v>167</v>
      </c>
      <c r="T15" s="29">
        <f>SUM(S4:X4)</f>
        <v>0</v>
      </c>
      <c r="U15" s="29" t="s">
        <v>228</v>
      </c>
      <c r="V15" s="29">
        <f>R15-R16</f>
        <v>0</v>
      </c>
      <c r="W15" s="29" t="s">
        <v>231</v>
      </c>
      <c r="X15" s="29">
        <f>R11+R13*R14</f>
        <v>0</v>
      </c>
      <c r="AA15">
        <v>41</v>
      </c>
    </row>
    <row r="16" spans="16:27" ht="36">
      <c r="Q16" s="26" t="s">
        <v>207</v>
      </c>
      <c r="R16" s="37"/>
      <c r="S16" s="29" t="s">
        <v>168</v>
      </c>
      <c r="T16" s="29">
        <f>IF(R12&gt;=3,2,0)</f>
        <v>0</v>
      </c>
      <c r="U16" s="29" t="s">
        <v>219</v>
      </c>
      <c r="V16" s="29">
        <f>IF(R12&lt;=2,-2,0)</f>
        <v>-2</v>
      </c>
      <c r="W16" s="29" t="s">
        <v>233</v>
      </c>
      <c r="X16" s="29">
        <f>IF(R12=0,3,0)</f>
        <v>3</v>
      </c>
      <c r="AA16">
        <v>43</v>
      </c>
    </row>
    <row r="17" spans="16:27" ht="36">
      <c r="P17" s="33" t="s">
        <v>172</v>
      </c>
      <c r="Q17" s="26" t="s">
        <v>175</v>
      </c>
      <c r="R17" s="37"/>
      <c r="S17" s="29" t="s">
        <v>181</v>
      </c>
      <c r="T17" s="29">
        <f>IF(R17="Yes",-1,0)</f>
        <v>0</v>
      </c>
      <c r="U17" s="29" t="s">
        <v>156</v>
      </c>
      <c r="V17" s="29">
        <f>IF(R18="Yes",3,0)</f>
        <v>0</v>
      </c>
      <c r="W17" s="29" t="s">
        <v>223</v>
      </c>
      <c r="X17" s="29">
        <f>IF(R19="Yes",-6,0)</f>
        <v>0</v>
      </c>
      <c r="AA17">
        <v>47</v>
      </c>
    </row>
    <row r="18" spans="16:27" ht="36">
      <c r="Q18" s="26" t="s">
        <v>156</v>
      </c>
      <c r="R18" s="37"/>
      <c r="S18" s="29" t="s">
        <v>183</v>
      </c>
      <c r="T18" s="29">
        <f>IF(R20="Yes",4,0)</f>
        <v>0</v>
      </c>
      <c r="U18" s="29" t="s">
        <v>227</v>
      </c>
      <c r="V18" s="29">
        <f>IF(R22="Yes",-5,0)</f>
        <v>0</v>
      </c>
      <c r="W18" s="29" t="s">
        <v>224</v>
      </c>
      <c r="X18" s="29">
        <f>IF(R21="Yes",2,0)</f>
        <v>0</v>
      </c>
      <c r="AA18">
        <v>53</v>
      </c>
    </row>
    <row r="19" spans="16:27" ht="36">
      <c r="Q19" s="26" t="s">
        <v>223</v>
      </c>
      <c r="R19" s="37"/>
      <c r="S19" s="29" t="s">
        <v>182</v>
      </c>
      <c r="T19" s="29">
        <f>IF(OR(S5:X5),-3,0)</f>
        <v>0</v>
      </c>
      <c r="U19" s="29" t="s">
        <v>229</v>
      </c>
      <c r="V19" s="29">
        <f>IF(ISNUMBER(MATCH(T15,AA3:AA19,0)),4,0)</f>
        <v>0</v>
      </c>
      <c r="W19" s="29" t="s">
        <v>235</v>
      </c>
      <c r="X19" s="29">
        <f>IF(IF(MOD(T15,3)=0,TRUE,FALSE),1,0)</f>
        <v>1</v>
      </c>
      <c r="AA19">
        <v>59</v>
      </c>
    </row>
    <row r="20" spans="16:27" ht="36">
      <c r="Q20" s="26" t="s">
        <v>225</v>
      </c>
      <c r="R20" s="37"/>
    </row>
    <row r="21" spans="16:27" ht="36">
      <c r="Q21" s="26" t="s">
        <v>224</v>
      </c>
      <c r="R21" s="37"/>
    </row>
    <row r="22" spans="16:27" ht="36">
      <c r="Q22" s="26" t="s">
        <v>226</v>
      </c>
      <c r="R22" s="37"/>
    </row>
    <row r="34" spans="17:17" ht="46.15">
      <c r="Q34" s="17" t="s">
        <v>99</v>
      </c>
    </row>
  </sheetData>
  <sheetProtection sheet="1" objects="1" scenarios="1"/>
  <protectedRanges>
    <protectedRange sqref="R10:R22" name="範圍1"/>
  </protectedRanges>
  <mergeCells count="3">
    <mergeCell ref="S14:T14"/>
    <mergeCell ref="U14:V14"/>
    <mergeCell ref="W14:X14"/>
  </mergeCells>
  <phoneticPr fontId="1" type="noConversion"/>
  <dataValidations count="1">
    <dataValidation type="list" showInputMessage="1" showErrorMessage="1" sqref="R17:R22" xr:uid="{00000000-0002-0000-0200-000000000000}">
      <formula1>$Y$3:$Y$5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3">
    <tabColor rgb="FFFF6969"/>
  </sheetPr>
  <dimension ref="B2:AH30"/>
  <sheetViews>
    <sheetView topLeftCell="B1" zoomScale="120" zoomScaleNormal="120" workbookViewId="0">
      <selection activeCell="AB27" sqref="AB27"/>
    </sheetView>
  </sheetViews>
  <sheetFormatPr defaultRowHeight="15.75"/>
  <cols>
    <col min="8" max="8" width="10.5" bestFit="1" customWidth="1"/>
    <col min="9" max="9" width="7.5" customWidth="1"/>
    <col min="10" max="10" width="9.5" bestFit="1" customWidth="1"/>
    <col min="12" max="12" width="2.875" bestFit="1" customWidth="1"/>
    <col min="13" max="14" width="2.75" bestFit="1" customWidth="1"/>
    <col min="15" max="15" width="2.875" bestFit="1" customWidth="1"/>
    <col min="17" max="25" width="0" hidden="1" customWidth="1"/>
    <col min="29" max="29" width="9.5" bestFit="1" customWidth="1"/>
  </cols>
  <sheetData>
    <row r="2" spans="2:34">
      <c r="B2" s="31" t="s">
        <v>164</v>
      </c>
      <c r="H2" s="91" t="s">
        <v>307</v>
      </c>
      <c r="I2" s="91"/>
      <c r="L2" t="s">
        <v>295</v>
      </c>
      <c r="AG2" t="s">
        <v>299</v>
      </c>
      <c r="AH2" t="b">
        <f>IF(LEN($H$4)=4,TRUE,FALSE)</f>
        <v>0</v>
      </c>
    </row>
    <row r="3" spans="2:34" ht="16.149999999999999" thickBot="1">
      <c r="V3" t="s">
        <v>297</v>
      </c>
      <c r="W3" t="s">
        <v>296</v>
      </c>
      <c r="Y3" t="s">
        <v>298</v>
      </c>
      <c r="Z3" s="64" t="s">
        <v>298</v>
      </c>
      <c r="AA3" s="64"/>
      <c r="AB3" s="64"/>
      <c r="AC3" s="64"/>
      <c r="AD3" s="64"/>
      <c r="AE3" s="64"/>
      <c r="AF3" s="64" t="s">
        <v>297</v>
      </c>
      <c r="AG3" s="64"/>
      <c r="AH3" s="3" t="s">
        <v>300</v>
      </c>
    </row>
    <row r="4" spans="2:34" ht="16.149999999999999" thickBot="1">
      <c r="B4" s="49" t="s">
        <v>186</v>
      </c>
      <c r="C4" s="50" t="s">
        <v>187</v>
      </c>
      <c r="D4" s="50" t="s">
        <v>188</v>
      </c>
      <c r="E4" s="50" t="s">
        <v>189</v>
      </c>
      <c r="F4" s="51" t="s">
        <v>190</v>
      </c>
      <c r="H4" s="83"/>
      <c r="I4" s="84"/>
      <c r="L4" s="61" t="str">
        <f>MID($H$4,1,1)</f>
        <v/>
      </c>
      <c r="M4" s="62" t="str">
        <f>MID($H$4,2,1)</f>
        <v/>
      </c>
      <c r="N4" s="62" t="str">
        <f>MID($H$4,3,1)</f>
        <v/>
      </c>
      <c r="O4" s="63" t="str">
        <f>MID($H$4,4,1)</f>
        <v/>
      </c>
      <c r="Q4" s="57" t="s">
        <v>186</v>
      </c>
      <c r="R4" t="b">
        <f>ISNUMBER(MATCH(MID($Q4,1,1),$L$4:$O$4,0))</f>
        <v>0</v>
      </c>
      <c r="S4" t="b">
        <f>ISNUMBER(MATCH(MID($Q4,2,1),$L$4:$O$4,0))</f>
        <v>0</v>
      </c>
      <c r="T4" t="b">
        <f>ISNUMBER(MATCH(MID($Q4,3,1),$L$4:$O$4,0))</f>
        <v>0</v>
      </c>
      <c r="U4" t="b">
        <f>ISNUMBER(MATCH(MID($Q4,4,1),$L$4:$O$4,0))</f>
        <v>0</v>
      </c>
      <c r="V4" t="b">
        <f>AND(R4:U4)</f>
        <v>0</v>
      </c>
      <c r="W4" t="b">
        <f t="shared" ref="W4:W23" si="0">IF(LEN(Q4)&gt;LEN($H$4),FALSE,TRUE)</f>
        <v>0</v>
      </c>
      <c r="X4">
        <f t="shared" ref="X4:X23" si="1">LEN(Q4)</f>
        <v>4</v>
      </c>
      <c r="Y4">
        <v>3</v>
      </c>
      <c r="Z4" s="65">
        <v>1</v>
      </c>
      <c r="AA4" s="66" t="s">
        <v>205</v>
      </c>
      <c r="AB4" s="65" t="b">
        <f t="shared" ref="AB4:AB23" si="2">ISNUMBER(MATCH(MID($AA4,1,1),$L$4:$O$4,0))</f>
        <v>0</v>
      </c>
      <c r="AC4" s="65" t="b">
        <f t="shared" ref="AC4:AC23" si="3">ISNUMBER(MATCH(MID($AA4,2,1),$L$4:$O$4,0))</f>
        <v>0</v>
      </c>
      <c r="AD4" s="65" t="b">
        <f t="shared" ref="AD4:AD19" si="4">ISNUMBER(MATCH(MID($AA4,3,1),$L$4:$O$4,0))</f>
        <v>0</v>
      </c>
      <c r="AE4" s="65" t="b">
        <f t="shared" ref="AE4:AE9" si="5">ISNUMBER(MATCH(MID($AA4,4,1),$L$4:$O$4,0))</f>
        <v>0</v>
      </c>
      <c r="AF4" s="65" t="b">
        <f t="shared" ref="AF4:AF23" si="6">AND(AB4:AE4)</f>
        <v>0</v>
      </c>
      <c r="AG4" s="65">
        <f t="shared" ref="AG4:AG23" si="7">LEN(AA4)</f>
        <v>4</v>
      </c>
      <c r="AH4" t="b">
        <f>IF(AND($AH$2,AF4),TRUE,FALSE)</f>
        <v>0</v>
      </c>
    </row>
    <row r="5" spans="2:34" ht="16.149999999999999" thickBot="1">
      <c r="B5" s="52" t="s">
        <v>191</v>
      </c>
      <c r="C5" s="28" t="s">
        <v>192</v>
      </c>
      <c r="D5" s="28" t="s">
        <v>193</v>
      </c>
      <c r="E5" s="28" t="s">
        <v>194</v>
      </c>
      <c r="F5" s="53" t="s">
        <v>195</v>
      </c>
      <c r="H5" s="85"/>
      <c r="I5" s="86"/>
      <c r="Q5" s="58" t="s">
        <v>191</v>
      </c>
      <c r="R5" t="b">
        <f t="shared" ref="R5:R23" si="8">ISNUMBER(MATCH(MID($Q5,1,1),$L$4:$O$4,0))</f>
        <v>0</v>
      </c>
      <c r="S5" t="b">
        <f t="shared" ref="S5:S23" si="9">ISNUMBER(MATCH(MID($Q5,2,1),$L$4:$O$4,0))</f>
        <v>0</v>
      </c>
      <c r="T5" t="b">
        <f t="shared" ref="T5:T23" si="10">ISNUMBER(MATCH(MID($Q5,3,1),$L$4:$O$4,0))</f>
        <v>0</v>
      </c>
      <c r="U5" t="b">
        <f>ISNUMBER(MATCH(MID($Q5,4,1),$L$4:$O$4,0))</f>
        <v>0</v>
      </c>
      <c r="V5" t="b">
        <f t="shared" ref="V5:V23" si="11">AND(R5:U5)</f>
        <v>0</v>
      </c>
      <c r="W5" t="b">
        <f t="shared" si="0"/>
        <v>0</v>
      </c>
      <c r="X5">
        <f t="shared" si="1"/>
        <v>4</v>
      </c>
      <c r="Y5">
        <v>4</v>
      </c>
      <c r="Z5" s="64">
        <v>2</v>
      </c>
      <c r="AA5" s="67" t="s">
        <v>200</v>
      </c>
      <c r="AB5" s="65" t="b">
        <f t="shared" si="2"/>
        <v>0</v>
      </c>
      <c r="AC5" s="65" t="b">
        <f t="shared" si="3"/>
        <v>0</v>
      </c>
      <c r="AD5" s="65" t="b">
        <f t="shared" si="4"/>
        <v>0</v>
      </c>
      <c r="AE5" s="65" t="b">
        <f t="shared" si="5"/>
        <v>0</v>
      </c>
      <c r="AF5" s="64" t="b">
        <f t="shared" si="6"/>
        <v>0</v>
      </c>
      <c r="AG5" s="64">
        <f t="shared" si="7"/>
        <v>4</v>
      </c>
      <c r="AH5" t="b">
        <f>IF(AND($AH$2,NOT(AH4),AF5),TRUE,FALSE)</f>
        <v>0</v>
      </c>
    </row>
    <row r="6" spans="2:34" ht="16.149999999999999" thickBot="1">
      <c r="B6" s="52" t="s">
        <v>196</v>
      </c>
      <c r="C6" s="28" t="s">
        <v>197</v>
      </c>
      <c r="D6" s="28" t="s">
        <v>198</v>
      </c>
      <c r="E6" s="28" t="s">
        <v>199</v>
      </c>
      <c r="F6" s="53" t="s">
        <v>200</v>
      </c>
      <c r="K6" t="s">
        <v>300</v>
      </c>
      <c r="L6" s="61" t="str">
        <f>MID($AH$25,1,1)</f>
        <v/>
      </c>
      <c r="M6" s="62" t="str">
        <f>MID($AH$25,2,1)</f>
        <v/>
      </c>
      <c r="N6" s="62" t="str">
        <f>MID($AH$25,3,1)</f>
        <v/>
      </c>
      <c r="O6" s="63" t="str">
        <f>MID($AH$25,4,1)</f>
        <v/>
      </c>
      <c r="Q6" s="58" t="s">
        <v>196</v>
      </c>
      <c r="R6" t="b">
        <f t="shared" si="8"/>
        <v>0</v>
      </c>
      <c r="S6" t="b">
        <f t="shared" si="9"/>
        <v>0</v>
      </c>
      <c r="T6" t="b">
        <f t="shared" si="10"/>
        <v>0</v>
      </c>
      <c r="V6" t="b">
        <f t="shared" si="11"/>
        <v>0</v>
      </c>
      <c r="W6" t="b">
        <f t="shared" si="0"/>
        <v>0</v>
      </c>
      <c r="X6">
        <f t="shared" si="1"/>
        <v>3</v>
      </c>
      <c r="Y6">
        <v>14</v>
      </c>
      <c r="Z6" s="65">
        <v>3</v>
      </c>
      <c r="AA6" s="66" t="s">
        <v>186</v>
      </c>
      <c r="AB6" s="65" t="b">
        <f t="shared" si="2"/>
        <v>0</v>
      </c>
      <c r="AC6" s="65" t="b">
        <f t="shared" si="3"/>
        <v>0</v>
      </c>
      <c r="AD6" s="65" t="b">
        <f t="shared" si="4"/>
        <v>0</v>
      </c>
      <c r="AE6" s="65" t="b">
        <f t="shared" si="5"/>
        <v>0</v>
      </c>
      <c r="AF6" s="65" t="b">
        <f t="shared" si="6"/>
        <v>0</v>
      </c>
      <c r="AG6" s="65">
        <f t="shared" si="7"/>
        <v>4</v>
      </c>
      <c r="AH6" t="b">
        <f t="shared" ref="AH6:AH23" si="12">IF(AND($AH$2,NOT(AH5),AF6),TRUE,FALSE)</f>
        <v>0</v>
      </c>
    </row>
    <row r="7" spans="2:34" ht="16.149999999999999" thickBot="1">
      <c r="B7" s="54" t="s">
        <v>201</v>
      </c>
      <c r="C7" s="55" t="s">
        <v>202</v>
      </c>
      <c r="D7" s="55" t="s">
        <v>203</v>
      </c>
      <c r="E7" s="55" t="s">
        <v>204</v>
      </c>
      <c r="F7" s="56" t="s">
        <v>205</v>
      </c>
      <c r="H7" s="87" t="str">
        <f>IF(AH2,AH25&amp;AA30,"")</f>
        <v/>
      </c>
      <c r="I7" s="88"/>
      <c r="Q7" s="58" t="s">
        <v>201</v>
      </c>
      <c r="R7" t="b">
        <f t="shared" si="8"/>
        <v>0</v>
      </c>
      <c r="S7" t="b">
        <f t="shared" si="9"/>
        <v>0</v>
      </c>
      <c r="V7" t="b">
        <f t="shared" si="11"/>
        <v>0</v>
      </c>
      <c r="W7" t="b">
        <f t="shared" si="0"/>
        <v>0</v>
      </c>
      <c r="X7">
        <f t="shared" si="1"/>
        <v>2</v>
      </c>
      <c r="Y7">
        <v>20</v>
      </c>
      <c r="Z7" s="64">
        <v>4</v>
      </c>
      <c r="AA7" s="67" t="s">
        <v>191</v>
      </c>
      <c r="AB7" s="65" t="b">
        <f t="shared" si="2"/>
        <v>0</v>
      </c>
      <c r="AC7" s="65" t="b">
        <f t="shared" si="3"/>
        <v>0</v>
      </c>
      <c r="AD7" s="65" t="b">
        <f t="shared" si="4"/>
        <v>0</v>
      </c>
      <c r="AE7" s="65" t="b">
        <f t="shared" si="5"/>
        <v>0</v>
      </c>
      <c r="AF7" s="64" t="b">
        <f t="shared" si="6"/>
        <v>0</v>
      </c>
      <c r="AG7" s="64">
        <f t="shared" si="7"/>
        <v>4</v>
      </c>
      <c r="AH7" t="b">
        <f t="shared" si="12"/>
        <v>0</v>
      </c>
    </row>
    <row r="8" spans="2:34" ht="16.149999999999999" thickBot="1">
      <c r="H8" s="89"/>
      <c r="I8" s="90"/>
      <c r="K8" t="s">
        <v>303</v>
      </c>
      <c r="L8" s="61" t="str">
        <f>IF(AND(L4&lt;&gt;$L$6,L4&lt;&gt;$M$6,L4&lt;&gt;$N$6,L4&lt;&gt;$O$6),L4,"")</f>
        <v/>
      </c>
      <c r="M8" s="62" t="str">
        <f>IF(AND(M4&lt;&gt;$L$6,M4&lt;&gt;$M$6,M4&lt;&gt;$N$6,M4&lt;&gt;$O$6),M4,"")</f>
        <v/>
      </c>
      <c r="N8" s="62" t="str">
        <f>IF(AND(N4&lt;&gt;$L$6,N4&lt;&gt;$M$6,N4&lt;&gt;$N$6,N4&lt;&gt;$O$6),N4,"")</f>
        <v/>
      </c>
      <c r="O8" s="63" t="str">
        <f>IF(AND(O4&lt;&gt;$L$6,O4&lt;&gt;$M$6,O4&lt;&gt;$N$6,O4&lt;&gt;$O$6),O4,"")</f>
        <v/>
      </c>
      <c r="Q8" s="58" t="s">
        <v>187</v>
      </c>
      <c r="R8" t="b">
        <f t="shared" si="8"/>
        <v>0</v>
      </c>
      <c r="S8" t="b">
        <f t="shared" si="9"/>
        <v>0</v>
      </c>
      <c r="T8" t="b">
        <f t="shared" si="10"/>
        <v>0</v>
      </c>
      <c r="V8" t="b">
        <f t="shared" si="11"/>
        <v>0</v>
      </c>
      <c r="W8" t="b">
        <f t="shared" si="0"/>
        <v>0</v>
      </c>
      <c r="X8">
        <f t="shared" si="1"/>
        <v>3</v>
      </c>
      <c r="Y8">
        <v>11</v>
      </c>
      <c r="Z8" s="65">
        <v>5</v>
      </c>
      <c r="AA8" s="66" t="s">
        <v>197</v>
      </c>
      <c r="AB8" s="65" t="b">
        <f t="shared" si="2"/>
        <v>0</v>
      </c>
      <c r="AC8" s="65" t="b">
        <f t="shared" si="3"/>
        <v>0</v>
      </c>
      <c r="AD8" s="65" t="b">
        <f t="shared" si="4"/>
        <v>0</v>
      </c>
      <c r="AE8" s="65" t="b">
        <f t="shared" si="5"/>
        <v>0</v>
      </c>
      <c r="AF8" s="65" t="b">
        <f t="shared" si="6"/>
        <v>0</v>
      </c>
      <c r="AG8" s="65">
        <f t="shared" si="7"/>
        <v>4</v>
      </c>
      <c r="AH8" t="b">
        <f t="shared" si="12"/>
        <v>0</v>
      </c>
    </row>
    <row r="9" spans="2:34" ht="16.149999999999999" thickBot="1">
      <c r="Q9" s="58" t="s">
        <v>192</v>
      </c>
      <c r="R9" t="b">
        <f t="shared" si="8"/>
        <v>0</v>
      </c>
      <c r="S9" t="b">
        <f t="shared" si="9"/>
        <v>0</v>
      </c>
      <c r="T9" t="b">
        <f t="shared" si="10"/>
        <v>0</v>
      </c>
      <c r="V9" t="b">
        <f t="shared" si="11"/>
        <v>0</v>
      </c>
      <c r="W9" t="b">
        <f t="shared" si="0"/>
        <v>0</v>
      </c>
      <c r="X9">
        <f t="shared" si="1"/>
        <v>3</v>
      </c>
      <c r="Y9">
        <v>7</v>
      </c>
      <c r="Z9" s="64">
        <v>6</v>
      </c>
      <c r="AA9" s="67" t="s">
        <v>202</v>
      </c>
      <c r="AB9" s="65" t="b">
        <f t="shared" si="2"/>
        <v>0</v>
      </c>
      <c r="AC9" s="65" t="b">
        <f t="shared" si="3"/>
        <v>0</v>
      </c>
      <c r="AD9" s="65" t="b">
        <f t="shared" si="4"/>
        <v>0</v>
      </c>
      <c r="AE9" s="65" t="b">
        <f t="shared" si="5"/>
        <v>0</v>
      </c>
      <c r="AF9" s="64" t="b">
        <f t="shared" si="6"/>
        <v>0</v>
      </c>
      <c r="AG9" s="64">
        <f t="shared" si="7"/>
        <v>4</v>
      </c>
      <c r="AH9" t="b">
        <f t="shared" si="12"/>
        <v>0</v>
      </c>
    </row>
    <row r="10" spans="2:34">
      <c r="B10" s="49" t="b">
        <f>AND(R4:W4)</f>
        <v>0</v>
      </c>
      <c r="C10" s="50" t="b">
        <f>AND(R8:W8)</f>
        <v>0</v>
      </c>
      <c r="D10" s="50" t="b">
        <f>AND(R12:W12)</f>
        <v>0</v>
      </c>
      <c r="E10" s="50" t="b">
        <f>AND(R16:W16)</f>
        <v>0</v>
      </c>
      <c r="F10" s="51" t="b">
        <f>AND(R20:W20)</f>
        <v>0</v>
      </c>
      <c r="H10" s="91" t="s">
        <v>308</v>
      </c>
      <c r="I10" s="91"/>
      <c r="Q10" s="58" t="s">
        <v>197</v>
      </c>
      <c r="R10" t="b">
        <f t="shared" si="8"/>
        <v>0</v>
      </c>
      <c r="S10" t="b">
        <f t="shared" si="9"/>
        <v>0</v>
      </c>
      <c r="T10" t="b">
        <f t="shared" si="10"/>
        <v>0</v>
      </c>
      <c r="U10" t="b">
        <f>ISNUMBER(MATCH(MID($Q10,4,1),$L$4:$O$4,0))</f>
        <v>0</v>
      </c>
      <c r="V10" t="b">
        <f t="shared" si="11"/>
        <v>0</v>
      </c>
      <c r="W10" t="b">
        <f t="shared" si="0"/>
        <v>0</v>
      </c>
      <c r="X10">
        <f t="shared" si="1"/>
        <v>4</v>
      </c>
      <c r="Y10">
        <v>5</v>
      </c>
      <c r="Z10" s="65">
        <v>7</v>
      </c>
      <c r="AA10" s="66" t="s">
        <v>192</v>
      </c>
      <c r="AB10" s="65" t="b">
        <f t="shared" si="2"/>
        <v>0</v>
      </c>
      <c r="AC10" s="65" t="b">
        <f t="shared" si="3"/>
        <v>0</v>
      </c>
      <c r="AD10" s="65" t="b">
        <f t="shared" si="4"/>
        <v>0</v>
      </c>
      <c r="AE10" s="65"/>
      <c r="AF10" s="65" t="b">
        <f t="shared" si="6"/>
        <v>0</v>
      </c>
      <c r="AG10" s="65">
        <f t="shared" si="7"/>
        <v>3</v>
      </c>
      <c r="AH10" t="b">
        <f t="shared" si="12"/>
        <v>0</v>
      </c>
    </row>
    <row r="11" spans="2:34">
      <c r="B11" s="52" t="b">
        <f>AND(R5:W5)</f>
        <v>0</v>
      </c>
      <c r="C11" s="28" t="b">
        <f>AND(R9:W9)</f>
        <v>0</v>
      </c>
      <c r="D11" s="28" t="b">
        <f>AND(R13:W13)</f>
        <v>0</v>
      </c>
      <c r="E11" s="28" t="b">
        <f>AND(R17:W17)</f>
        <v>0</v>
      </c>
      <c r="F11" s="53" t="b">
        <f>AND(R21:W21)</f>
        <v>0</v>
      </c>
      <c r="Q11" s="58" t="s">
        <v>202</v>
      </c>
      <c r="R11" t="b">
        <f t="shared" si="8"/>
        <v>0</v>
      </c>
      <c r="S11" t="b">
        <f t="shared" si="9"/>
        <v>0</v>
      </c>
      <c r="T11" t="b">
        <f t="shared" si="10"/>
        <v>0</v>
      </c>
      <c r="U11" t="b">
        <f>ISNUMBER(MATCH(MID($Q11,4,1),$L$4:$O$4,0))</f>
        <v>0</v>
      </c>
      <c r="V11" t="b">
        <f t="shared" si="11"/>
        <v>0</v>
      </c>
      <c r="W11" t="b">
        <f t="shared" si="0"/>
        <v>0</v>
      </c>
      <c r="X11">
        <f t="shared" si="1"/>
        <v>4</v>
      </c>
      <c r="Y11">
        <v>6</v>
      </c>
      <c r="Z11" s="64">
        <v>8</v>
      </c>
      <c r="AA11" s="67" t="s">
        <v>203</v>
      </c>
      <c r="AB11" s="65" t="b">
        <f t="shared" si="2"/>
        <v>0</v>
      </c>
      <c r="AC11" s="65" t="b">
        <f t="shared" si="3"/>
        <v>0</v>
      </c>
      <c r="AD11" s="65" t="b">
        <f t="shared" si="4"/>
        <v>0</v>
      </c>
      <c r="AE11" s="65"/>
      <c r="AF11" s="64" t="b">
        <f t="shared" si="6"/>
        <v>0</v>
      </c>
      <c r="AG11" s="64">
        <f t="shared" si="7"/>
        <v>3</v>
      </c>
      <c r="AH11" t="b">
        <f t="shared" si="12"/>
        <v>0</v>
      </c>
    </row>
    <row r="12" spans="2:34">
      <c r="B12" s="52" t="b">
        <f>AND(R6:W6)</f>
        <v>0</v>
      </c>
      <c r="C12" s="28" t="b">
        <f>AND(R10:W10)</f>
        <v>0</v>
      </c>
      <c r="D12" s="28" t="b">
        <f>AND(R14:W14)</f>
        <v>0</v>
      </c>
      <c r="E12" s="28" t="b">
        <f>AND(R18:W18)</f>
        <v>0</v>
      </c>
      <c r="F12" s="53" t="b">
        <f>AND(R22:W22)</f>
        <v>0</v>
      </c>
      <c r="Q12" s="58" t="s">
        <v>188</v>
      </c>
      <c r="R12" t="b">
        <f t="shared" si="8"/>
        <v>0</v>
      </c>
      <c r="S12" t="b">
        <f t="shared" si="9"/>
        <v>0</v>
      </c>
      <c r="V12" t="b">
        <f t="shared" si="11"/>
        <v>0</v>
      </c>
      <c r="W12" t="b">
        <f t="shared" si="0"/>
        <v>0</v>
      </c>
      <c r="X12">
        <f t="shared" si="1"/>
        <v>2</v>
      </c>
      <c r="Y12">
        <v>17</v>
      </c>
      <c r="Z12" s="65">
        <v>9</v>
      </c>
      <c r="AA12" s="66" t="s">
        <v>194</v>
      </c>
      <c r="AB12" s="65" t="b">
        <f t="shared" si="2"/>
        <v>0</v>
      </c>
      <c r="AC12" s="65" t="b">
        <f t="shared" si="3"/>
        <v>0</v>
      </c>
      <c r="AD12" s="65" t="b">
        <f t="shared" si="4"/>
        <v>0</v>
      </c>
      <c r="AE12" s="65"/>
      <c r="AF12" s="65" t="b">
        <f t="shared" si="6"/>
        <v>0</v>
      </c>
      <c r="AG12" s="65">
        <f t="shared" si="7"/>
        <v>3</v>
      </c>
      <c r="AH12" t="b">
        <f t="shared" si="12"/>
        <v>0</v>
      </c>
    </row>
    <row r="13" spans="2:34" ht="16.149999999999999" thickBot="1">
      <c r="B13" s="54" t="b">
        <f>AND(R7:W7)</f>
        <v>0</v>
      </c>
      <c r="C13" s="55" t="b">
        <f>AND(R11:W11)</f>
        <v>0</v>
      </c>
      <c r="D13" s="55" t="b">
        <f>AND(R15:W15)</f>
        <v>0</v>
      </c>
      <c r="E13" s="55" t="b">
        <f>AND(R19:W19)</f>
        <v>0</v>
      </c>
      <c r="F13" s="56" t="b">
        <f>AND(R23:W23)</f>
        <v>0</v>
      </c>
      <c r="Q13" s="58" t="s">
        <v>193</v>
      </c>
      <c r="R13" t="b">
        <f t="shared" si="8"/>
        <v>0</v>
      </c>
      <c r="S13" t="b">
        <f t="shared" si="9"/>
        <v>0</v>
      </c>
      <c r="T13" t="b">
        <f t="shared" si="10"/>
        <v>0</v>
      </c>
      <c r="V13" t="b">
        <f t="shared" si="11"/>
        <v>0</v>
      </c>
      <c r="W13" t="b">
        <f t="shared" si="0"/>
        <v>0</v>
      </c>
      <c r="X13">
        <f t="shared" si="1"/>
        <v>3</v>
      </c>
      <c r="Y13">
        <v>15</v>
      </c>
      <c r="Z13" s="64">
        <v>10</v>
      </c>
      <c r="AA13" s="67" t="s">
        <v>204</v>
      </c>
      <c r="AB13" s="65" t="b">
        <f t="shared" si="2"/>
        <v>0</v>
      </c>
      <c r="AC13" s="65" t="b">
        <f t="shared" si="3"/>
        <v>0</v>
      </c>
      <c r="AD13" s="65" t="b">
        <f t="shared" si="4"/>
        <v>0</v>
      </c>
      <c r="AE13" s="65"/>
      <c r="AF13" s="64" t="b">
        <f t="shared" si="6"/>
        <v>0</v>
      </c>
      <c r="AG13" s="64">
        <f t="shared" si="7"/>
        <v>3</v>
      </c>
      <c r="AH13" t="b">
        <f t="shared" si="12"/>
        <v>0</v>
      </c>
    </row>
    <row r="14" spans="2:34">
      <c r="Q14" s="58" t="s">
        <v>198</v>
      </c>
      <c r="R14" t="b">
        <f t="shared" si="8"/>
        <v>0</v>
      </c>
      <c r="S14" t="b">
        <f t="shared" si="9"/>
        <v>0</v>
      </c>
      <c r="T14" t="b">
        <f t="shared" si="10"/>
        <v>0</v>
      </c>
      <c r="V14" t="b">
        <f t="shared" si="11"/>
        <v>0</v>
      </c>
      <c r="W14" t="b">
        <f t="shared" si="0"/>
        <v>0</v>
      </c>
      <c r="X14">
        <f t="shared" si="1"/>
        <v>3</v>
      </c>
      <c r="Y14">
        <v>13</v>
      </c>
      <c r="Z14" s="65">
        <v>11</v>
      </c>
      <c r="AA14" s="66" t="s">
        <v>187</v>
      </c>
      <c r="AB14" s="65" t="b">
        <f t="shared" si="2"/>
        <v>0</v>
      </c>
      <c r="AC14" s="65" t="b">
        <f t="shared" si="3"/>
        <v>0</v>
      </c>
      <c r="AD14" s="65" t="b">
        <f t="shared" si="4"/>
        <v>0</v>
      </c>
      <c r="AE14" s="65"/>
      <c r="AF14" s="65" t="b">
        <f t="shared" si="6"/>
        <v>0</v>
      </c>
      <c r="AG14" s="65">
        <f t="shared" si="7"/>
        <v>3</v>
      </c>
      <c r="AH14" t="b">
        <f t="shared" si="12"/>
        <v>0</v>
      </c>
    </row>
    <row r="15" spans="2:34" ht="16.149999999999999" thickBot="1">
      <c r="Q15" s="58" t="s">
        <v>203</v>
      </c>
      <c r="R15" t="b">
        <f t="shared" si="8"/>
        <v>0</v>
      </c>
      <c r="S15" t="b">
        <f t="shared" si="9"/>
        <v>0</v>
      </c>
      <c r="T15" t="b">
        <f t="shared" si="10"/>
        <v>0</v>
      </c>
      <c r="V15" t="b">
        <f t="shared" si="11"/>
        <v>0</v>
      </c>
      <c r="W15" t="b">
        <f t="shared" si="0"/>
        <v>0</v>
      </c>
      <c r="X15">
        <f t="shared" si="1"/>
        <v>3</v>
      </c>
      <c r="Y15">
        <v>8</v>
      </c>
      <c r="Z15" s="64">
        <v>12</v>
      </c>
      <c r="AA15" s="67" t="s">
        <v>190</v>
      </c>
      <c r="AB15" s="65" t="b">
        <f t="shared" si="2"/>
        <v>0</v>
      </c>
      <c r="AC15" s="65" t="b">
        <f t="shared" si="3"/>
        <v>0</v>
      </c>
      <c r="AD15" s="65" t="b">
        <f t="shared" si="4"/>
        <v>0</v>
      </c>
      <c r="AE15" s="65"/>
      <c r="AF15" s="64" t="b">
        <f t="shared" si="6"/>
        <v>0</v>
      </c>
      <c r="AG15" s="64">
        <f t="shared" si="7"/>
        <v>3</v>
      </c>
      <c r="AH15" t="b">
        <f t="shared" si="12"/>
        <v>0</v>
      </c>
    </row>
    <row r="16" spans="2:34" ht="16.149999999999999" thickBot="1">
      <c r="K16" t="s">
        <v>305</v>
      </c>
      <c r="L16" s="61" t="str">
        <f>L8</f>
        <v/>
      </c>
      <c r="M16" s="62" t="str">
        <f>M8</f>
        <v/>
      </c>
      <c r="N16" s="62" t="str">
        <f>N8</f>
        <v/>
      </c>
      <c r="O16" s="63" t="str">
        <f>O8</f>
        <v/>
      </c>
      <c r="Q16" s="58" t="s">
        <v>189</v>
      </c>
      <c r="R16" t="b">
        <f t="shared" si="8"/>
        <v>0</v>
      </c>
      <c r="S16" t="b">
        <f t="shared" si="9"/>
        <v>0</v>
      </c>
      <c r="T16" t="b">
        <f t="shared" si="10"/>
        <v>0</v>
      </c>
      <c r="V16" t="b">
        <f t="shared" si="11"/>
        <v>0</v>
      </c>
      <c r="W16" t="b">
        <f t="shared" si="0"/>
        <v>0</v>
      </c>
      <c r="X16">
        <f t="shared" si="1"/>
        <v>3</v>
      </c>
      <c r="Y16">
        <v>16</v>
      </c>
      <c r="Z16" s="65">
        <v>13</v>
      </c>
      <c r="AA16" s="66" t="s">
        <v>198</v>
      </c>
      <c r="AB16" s="65" t="b">
        <f t="shared" si="2"/>
        <v>0</v>
      </c>
      <c r="AC16" s="65" t="b">
        <f t="shared" si="3"/>
        <v>0</v>
      </c>
      <c r="AD16" s="65" t="b">
        <f t="shared" si="4"/>
        <v>0</v>
      </c>
      <c r="AE16" s="65"/>
      <c r="AF16" s="65" t="b">
        <f t="shared" si="6"/>
        <v>0</v>
      </c>
      <c r="AG16" s="65">
        <f t="shared" si="7"/>
        <v>3</v>
      </c>
      <c r="AH16" t="b">
        <f t="shared" si="12"/>
        <v>0</v>
      </c>
    </row>
    <row r="17" spans="17:34">
      <c r="Q17" s="58" t="s">
        <v>194</v>
      </c>
      <c r="R17" t="b">
        <f t="shared" si="8"/>
        <v>0</v>
      </c>
      <c r="S17" t="b">
        <f t="shared" si="9"/>
        <v>0</v>
      </c>
      <c r="T17" t="b">
        <f t="shared" si="10"/>
        <v>0</v>
      </c>
      <c r="V17" t="b">
        <f t="shared" si="11"/>
        <v>0</v>
      </c>
      <c r="W17" t="b">
        <f t="shared" si="0"/>
        <v>0</v>
      </c>
      <c r="X17">
        <f t="shared" si="1"/>
        <v>3</v>
      </c>
      <c r="Y17">
        <v>9</v>
      </c>
      <c r="Z17" s="64">
        <v>14</v>
      </c>
      <c r="AA17" s="67" t="s">
        <v>196</v>
      </c>
      <c r="AB17" s="65" t="b">
        <f t="shared" si="2"/>
        <v>0</v>
      </c>
      <c r="AC17" s="65" t="b">
        <f t="shared" si="3"/>
        <v>0</v>
      </c>
      <c r="AD17" s="65" t="b">
        <f t="shared" si="4"/>
        <v>0</v>
      </c>
      <c r="AE17" s="65"/>
      <c r="AF17" s="64" t="b">
        <f t="shared" si="6"/>
        <v>0</v>
      </c>
      <c r="AG17" s="64">
        <f t="shared" si="7"/>
        <v>3</v>
      </c>
      <c r="AH17" t="b">
        <f t="shared" si="12"/>
        <v>0</v>
      </c>
    </row>
    <row r="18" spans="17:34">
      <c r="Q18" s="58" t="s">
        <v>199</v>
      </c>
      <c r="R18" t="b">
        <f t="shared" si="8"/>
        <v>0</v>
      </c>
      <c r="S18" t="b">
        <f t="shared" si="9"/>
        <v>0</v>
      </c>
      <c r="V18" t="b">
        <f t="shared" si="11"/>
        <v>0</v>
      </c>
      <c r="W18" t="b">
        <f t="shared" si="0"/>
        <v>0</v>
      </c>
      <c r="X18">
        <f t="shared" si="1"/>
        <v>2</v>
      </c>
      <c r="Y18">
        <v>19</v>
      </c>
      <c r="Z18" s="65">
        <v>15</v>
      </c>
      <c r="AA18" s="66" t="s">
        <v>193</v>
      </c>
      <c r="AB18" s="65" t="b">
        <f t="shared" si="2"/>
        <v>0</v>
      </c>
      <c r="AC18" s="65" t="b">
        <f t="shared" si="3"/>
        <v>0</v>
      </c>
      <c r="AD18" s="65" t="b">
        <f t="shared" si="4"/>
        <v>0</v>
      </c>
      <c r="AE18" s="65"/>
      <c r="AF18" s="65" t="b">
        <f t="shared" si="6"/>
        <v>0</v>
      </c>
      <c r="AG18" s="65">
        <f t="shared" si="7"/>
        <v>3</v>
      </c>
      <c r="AH18" t="b">
        <f t="shared" si="12"/>
        <v>0</v>
      </c>
    </row>
    <row r="19" spans="17:34">
      <c r="Q19" s="58" t="s">
        <v>204</v>
      </c>
      <c r="R19" t="b">
        <f t="shared" si="8"/>
        <v>0</v>
      </c>
      <c r="S19" t="b">
        <f t="shared" si="9"/>
        <v>0</v>
      </c>
      <c r="T19" t="b">
        <f t="shared" si="10"/>
        <v>0</v>
      </c>
      <c r="V19" t="b">
        <f t="shared" si="11"/>
        <v>0</v>
      </c>
      <c r="W19" t="b">
        <f t="shared" si="0"/>
        <v>0</v>
      </c>
      <c r="X19">
        <f t="shared" si="1"/>
        <v>3</v>
      </c>
      <c r="Y19">
        <v>10</v>
      </c>
      <c r="Z19" s="64">
        <v>16</v>
      </c>
      <c r="AA19" s="67" t="s">
        <v>189</v>
      </c>
      <c r="AB19" s="65" t="b">
        <f t="shared" si="2"/>
        <v>0</v>
      </c>
      <c r="AC19" s="65" t="b">
        <f t="shared" si="3"/>
        <v>0</v>
      </c>
      <c r="AD19" s="65" t="b">
        <f t="shared" si="4"/>
        <v>0</v>
      </c>
      <c r="AE19" s="65"/>
      <c r="AF19" s="64" t="b">
        <f t="shared" si="6"/>
        <v>0</v>
      </c>
      <c r="AG19" s="64">
        <f t="shared" si="7"/>
        <v>3</v>
      </c>
      <c r="AH19" t="b">
        <f t="shared" si="12"/>
        <v>0</v>
      </c>
    </row>
    <row r="20" spans="17:34">
      <c r="Q20" s="58" t="s">
        <v>190</v>
      </c>
      <c r="R20" t="b">
        <f t="shared" si="8"/>
        <v>0</v>
      </c>
      <c r="S20" t="b">
        <f t="shared" si="9"/>
        <v>0</v>
      </c>
      <c r="T20" t="b">
        <f t="shared" si="10"/>
        <v>0</v>
      </c>
      <c r="V20" t="b">
        <f t="shared" si="11"/>
        <v>0</v>
      </c>
      <c r="W20" t="b">
        <f t="shared" si="0"/>
        <v>0</v>
      </c>
      <c r="X20">
        <f t="shared" si="1"/>
        <v>3</v>
      </c>
      <c r="Y20">
        <v>12</v>
      </c>
      <c r="Z20" s="65">
        <v>17</v>
      </c>
      <c r="AA20" s="66" t="s">
        <v>188</v>
      </c>
      <c r="AB20" s="65" t="b">
        <f t="shared" si="2"/>
        <v>0</v>
      </c>
      <c r="AC20" s="65" t="b">
        <f t="shared" si="3"/>
        <v>0</v>
      </c>
      <c r="AD20" s="65"/>
      <c r="AE20" s="65"/>
      <c r="AF20" s="65" t="b">
        <f t="shared" si="6"/>
        <v>0</v>
      </c>
      <c r="AG20" s="65">
        <f t="shared" si="7"/>
        <v>2</v>
      </c>
      <c r="AH20" t="b">
        <f t="shared" si="12"/>
        <v>0</v>
      </c>
    </row>
    <row r="21" spans="17:34">
      <c r="Q21" s="58" t="s">
        <v>195</v>
      </c>
      <c r="R21" t="b">
        <f t="shared" si="8"/>
        <v>0</v>
      </c>
      <c r="S21" t="b">
        <f t="shared" si="9"/>
        <v>0</v>
      </c>
      <c r="V21" t="b">
        <f t="shared" si="11"/>
        <v>0</v>
      </c>
      <c r="W21" t="b">
        <f t="shared" si="0"/>
        <v>0</v>
      </c>
      <c r="X21">
        <f t="shared" si="1"/>
        <v>2</v>
      </c>
      <c r="Y21">
        <v>18</v>
      </c>
      <c r="Z21" s="64">
        <v>18</v>
      </c>
      <c r="AA21" s="67" t="s">
        <v>195</v>
      </c>
      <c r="AB21" s="65" t="b">
        <f t="shared" si="2"/>
        <v>0</v>
      </c>
      <c r="AC21" s="65" t="b">
        <f t="shared" si="3"/>
        <v>0</v>
      </c>
      <c r="AD21" s="65"/>
      <c r="AE21" s="65"/>
      <c r="AF21" s="64" t="b">
        <f t="shared" si="6"/>
        <v>0</v>
      </c>
      <c r="AG21" s="64">
        <f t="shared" si="7"/>
        <v>2</v>
      </c>
      <c r="AH21" t="b">
        <f t="shared" si="12"/>
        <v>0</v>
      </c>
    </row>
    <row r="22" spans="17:34">
      <c r="Q22" s="58" t="s">
        <v>200</v>
      </c>
      <c r="R22" t="b">
        <f t="shared" si="8"/>
        <v>0</v>
      </c>
      <c r="S22" t="b">
        <f t="shared" si="9"/>
        <v>0</v>
      </c>
      <c r="T22" t="b">
        <f t="shared" si="10"/>
        <v>0</v>
      </c>
      <c r="U22" t="b">
        <f>ISNUMBER(MATCH(MID($Q22,4,1),$L$4:$O$4,0))</f>
        <v>0</v>
      </c>
      <c r="V22" t="b">
        <f t="shared" si="11"/>
        <v>0</v>
      </c>
      <c r="W22" t="b">
        <f t="shared" si="0"/>
        <v>0</v>
      </c>
      <c r="X22">
        <f t="shared" si="1"/>
        <v>4</v>
      </c>
      <c r="Y22">
        <v>2</v>
      </c>
      <c r="Z22" s="65">
        <v>19</v>
      </c>
      <c r="AA22" s="66" t="s">
        <v>199</v>
      </c>
      <c r="AB22" s="65" t="b">
        <f t="shared" si="2"/>
        <v>0</v>
      </c>
      <c r="AC22" s="65" t="b">
        <f t="shared" si="3"/>
        <v>0</v>
      </c>
      <c r="AD22" s="65"/>
      <c r="AE22" s="65"/>
      <c r="AF22" s="65" t="b">
        <f t="shared" si="6"/>
        <v>0</v>
      </c>
      <c r="AG22" s="65">
        <f t="shared" si="7"/>
        <v>2</v>
      </c>
      <c r="AH22" t="b">
        <f t="shared" si="12"/>
        <v>0</v>
      </c>
    </row>
    <row r="23" spans="17:34" ht="16.149999999999999" thickBot="1">
      <c r="Q23" s="59" t="s">
        <v>205</v>
      </c>
      <c r="R23" t="b">
        <f t="shared" si="8"/>
        <v>0</v>
      </c>
      <c r="S23" t="b">
        <f t="shared" si="9"/>
        <v>0</v>
      </c>
      <c r="T23" t="b">
        <f t="shared" si="10"/>
        <v>0</v>
      </c>
      <c r="U23" t="b">
        <f>ISNUMBER(MATCH(MID($Q23,4,1),$L$4:$O$4,0))</f>
        <v>0</v>
      </c>
      <c r="V23" t="b">
        <f t="shared" si="11"/>
        <v>0</v>
      </c>
      <c r="W23" t="b">
        <f t="shared" si="0"/>
        <v>0</v>
      </c>
      <c r="X23">
        <f t="shared" si="1"/>
        <v>4</v>
      </c>
      <c r="Y23">
        <v>1</v>
      </c>
      <c r="Z23" s="64">
        <v>20</v>
      </c>
      <c r="AA23" s="67" t="s">
        <v>201</v>
      </c>
      <c r="AB23" s="65" t="b">
        <f t="shared" si="2"/>
        <v>0</v>
      </c>
      <c r="AC23" s="65" t="b">
        <f t="shared" si="3"/>
        <v>0</v>
      </c>
      <c r="AD23" s="65"/>
      <c r="AE23" s="65"/>
      <c r="AF23" s="64" t="b">
        <f t="shared" si="6"/>
        <v>0</v>
      </c>
      <c r="AG23" s="64">
        <f t="shared" si="7"/>
        <v>2</v>
      </c>
      <c r="AH23" t="b">
        <f t="shared" si="12"/>
        <v>0</v>
      </c>
    </row>
    <row r="25" spans="17:34">
      <c r="AG25" t="s">
        <v>302</v>
      </c>
      <c r="AH25" t="str">
        <f>IF($AH$2,IF(ISNUMBER(MATCH(TRUE,AH4:AH23,0)),INDEX(AA4:AA23,MATCH(TRUE,AH4:AH23,0)),""),"")</f>
        <v/>
      </c>
    </row>
    <row r="26" spans="17:34">
      <c r="AG26" t="s">
        <v>301</v>
      </c>
      <c r="AH26" t="str">
        <f>L8&amp;M8&amp;N8&amp;O8</f>
        <v/>
      </c>
    </row>
    <row r="27" spans="17:34">
      <c r="Z27" t="s">
        <v>304</v>
      </c>
      <c r="AB27">
        <f>IFERROR(CODE(L16),0)</f>
        <v>0</v>
      </c>
      <c r="AC27">
        <f>IFERROR(CODE(M16),0)</f>
        <v>0</v>
      </c>
      <c r="AD27">
        <f>IFERROR(CODE(N16),0)</f>
        <v>0</v>
      </c>
      <c r="AE27">
        <f>IFERROR(CODE(O16),0)</f>
        <v>0</v>
      </c>
    </row>
    <row r="28" spans="17:34">
      <c r="AB28">
        <f>LARGE($AB$27:$AE$27,4)</f>
        <v>0</v>
      </c>
      <c r="AC28">
        <f>LARGE($AB$27:$AE$27,3)</f>
        <v>0</v>
      </c>
      <c r="AD28">
        <f>LARGE($AB$27:$AE$27,2)</f>
        <v>0</v>
      </c>
      <c r="AE28">
        <f>LARGE($AB$27:$AE$27,1)</f>
        <v>0</v>
      </c>
    </row>
    <row r="29" spans="17:34">
      <c r="AB29" t="str">
        <f>IFERROR(CHAR(AB28),"")</f>
        <v/>
      </c>
      <c r="AC29" t="str">
        <f>IFERROR(CHAR(AC28),"")</f>
        <v/>
      </c>
      <c r="AD29" t="str">
        <f>IFERROR(CHAR(AD28),"")</f>
        <v/>
      </c>
      <c r="AE29" t="str">
        <f>IFERROR(CHAR(AE28),"")</f>
        <v/>
      </c>
    </row>
    <row r="30" spans="17:34">
      <c r="Z30" t="s">
        <v>306</v>
      </c>
      <c r="AA30" t="str">
        <f>AB29&amp;AC29&amp;AD29&amp;AE29</f>
        <v/>
      </c>
    </row>
  </sheetData>
  <sortState xmlns:xlrd2="http://schemas.microsoft.com/office/spreadsheetml/2017/richdata2" ref="AB28:AB32">
    <sortCondition ref="AB34"/>
  </sortState>
  <mergeCells count="4">
    <mergeCell ref="H4:I5"/>
    <mergeCell ref="H7:I8"/>
    <mergeCell ref="H2:I2"/>
    <mergeCell ref="H10:I10"/>
  </mergeCells>
  <phoneticPr fontId="1" type="noConversion"/>
  <conditionalFormatting sqref="B10:F13">
    <cfRule type="cellIs" dxfId="23" priority="2" operator="equal">
      <formula>TRUE</formula>
    </cfRule>
  </conditionalFormatting>
  <conditionalFormatting sqref="H7:I8">
    <cfRule type="cellIs" dxfId="22" priority="1" operator="notEqual">
      <formula>""""""</formula>
    </cfRule>
  </conditionalFormatting>
  <hyperlinks>
    <hyperlink ref="B2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rgb="FFFF6969"/>
  </sheetPr>
  <dimension ref="A1:AA64"/>
  <sheetViews>
    <sheetView workbookViewId="0">
      <selection activeCell="L3" sqref="L3"/>
    </sheetView>
  </sheetViews>
  <sheetFormatPr defaultRowHeight="15.75"/>
  <cols>
    <col min="2" max="2" width="9" style="42"/>
    <col min="3" max="3" width="4.5" customWidth="1"/>
    <col min="4" max="4" width="3" bestFit="1" customWidth="1"/>
    <col min="5" max="5" width="2.875" bestFit="1" customWidth="1"/>
    <col min="6" max="9" width="3" bestFit="1" customWidth="1"/>
    <col min="26" max="26" width="16.125" customWidth="1"/>
  </cols>
  <sheetData>
    <row r="1" spans="1:27">
      <c r="A1" t="s">
        <v>289</v>
      </c>
    </row>
    <row r="2" spans="1:27" ht="16.149999999999999" thickBot="1">
      <c r="L2" s="47">
        <v>1</v>
      </c>
      <c r="M2" s="47">
        <v>2</v>
      </c>
      <c r="N2" s="47">
        <v>3</v>
      </c>
      <c r="O2" s="47">
        <v>4</v>
      </c>
      <c r="P2" s="47">
        <v>5</v>
      </c>
      <c r="Q2" s="47">
        <v>6</v>
      </c>
      <c r="Z2" t="s">
        <v>293</v>
      </c>
    </row>
    <row r="3" spans="1:27" ht="25.9" thickBot="1">
      <c r="L3" s="18"/>
      <c r="M3" s="18"/>
      <c r="N3" s="18"/>
      <c r="O3" s="18"/>
      <c r="P3" s="18"/>
      <c r="Q3" s="18"/>
      <c r="Z3" s="46" t="str">
        <f t="array" ref="Z3">IFERROR((IF($AA$10,INDEX($B$13:$B$64,SMALL(IF($S$13:$S$64=TRUE,ROW($S$13:$S$64)-ROW($S$13)+1),1)),"")),"")</f>
        <v/>
      </c>
    </row>
    <row r="4" spans="1:27" ht="27.75" customHeight="1" thickBot="1">
      <c r="L4" s="18"/>
      <c r="M4" s="18"/>
      <c r="N4" s="18"/>
      <c r="O4" s="18"/>
      <c r="P4" s="18"/>
      <c r="Q4" s="18"/>
      <c r="T4" s="92" t="str">
        <f ca="1">IF(V9=1,OFFSET(B12,MATCH(TRUE,S13:S64,0),0),"")</f>
        <v/>
      </c>
      <c r="U4" s="92"/>
      <c r="V4" s="92"/>
      <c r="W4" s="92"/>
      <c r="X4" s="92"/>
      <c r="Z4" s="46" t="str">
        <f t="array" ref="Z4">IFERROR((IF($AA$10,INDEX($B$13:$B$64,SMALL(IF($S$13:$S$64=TRUE,ROW($S$13:$S$64)-ROW($S$13)+1),2)),"")),"")</f>
        <v/>
      </c>
    </row>
    <row r="5" spans="1:27" ht="25.9" thickBot="1">
      <c r="L5" s="18"/>
      <c r="M5" s="18"/>
      <c r="N5" s="18"/>
      <c r="O5" s="18"/>
      <c r="P5" s="18"/>
      <c r="Q5" s="18"/>
      <c r="T5" s="92"/>
      <c r="U5" s="92"/>
      <c r="V5" s="92"/>
      <c r="W5" s="92"/>
      <c r="X5" s="92"/>
      <c r="Z5" s="46" t="str">
        <f t="array" ref="Z5">IFERROR((IF($AA$10,INDEX($B$13:$B$64,SMALL(IF($S$13:$S$64=TRUE,ROW($S$13:$S$64)-ROW($S$13)+1),3)),"")),"")</f>
        <v/>
      </c>
    </row>
    <row r="6" spans="1:27" ht="25.9" thickBot="1">
      <c r="L6" s="18"/>
      <c r="M6" s="18"/>
      <c r="N6" s="18"/>
      <c r="O6" s="18"/>
      <c r="P6" s="18"/>
      <c r="Q6" s="18"/>
      <c r="T6" s="92"/>
      <c r="U6" s="92"/>
      <c r="V6" s="92"/>
      <c r="W6" s="92"/>
      <c r="X6" s="92"/>
      <c r="Z6" s="46" t="str">
        <f t="array" ref="Z6">IFERROR((IF($AA$10,INDEX($B$13:$B$64,SMALL(IF($S$13:$S$64=TRUE,ROW($S$13:$S$64)-ROW($S$13)+1),4)),"")),"")</f>
        <v/>
      </c>
    </row>
    <row r="7" spans="1:27" ht="25.9" thickBot="1">
      <c r="L7" s="18"/>
      <c r="M7" s="18"/>
      <c r="N7" s="18"/>
      <c r="O7" s="18"/>
      <c r="P7" s="18"/>
      <c r="Q7" s="18"/>
      <c r="T7" s="92"/>
      <c r="U7" s="92"/>
      <c r="V7" s="92"/>
      <c r="W7" s="92"/>
      <c r="X7" s="92"/>
      <c r="Z7" s="46" t="str">
        <f t="array" ref="Z7">IFERROR((IF($AA$10,INDEX($B$13:$B$64,SMALL(IF($S$13:$S$64=TRUE,ROW($S$13:$S$64)-ROW($S$13)+1),5)),"")),"")</f>
        <v/>
      </c>
    </row>
    <row r="8" spans="1:27" ht="25.9" thickBot="1">
      <c r="L8" s="18"/>
      <c r="M8" s="18"/>
      <c r="N8" s="18"/>
      <c r="O8" s="18"/>
      <c r="P8" s="18"/>
      <c r="Q8" s="18"/>
      <c r="Z8" s="48" t="str">
        <f t="array" ref="Z8">IFERROR((IF($AA$10,INDEX($B$13:$B$64,SMALL(IF($S$13:$S$64=TRUE,ROW($S$13:$S$64)-ROW($S$13)+1),6)),"")),"")</f>
        <v/>
      </c>
    </row>
    <row r="9" spans="1:27">
      <c r="T9" s="32" t="s">
        <v>292</v>
      </c>
      <c r="V9" s="45">
        <f>COUNTIF(S13:S64,TRUE)</f>
        <v>52</v>
      </c>
    </row>
    <row r="10" spans="1:27">
      <c r="L10" s="30" t="s">
        <v>291</v>
      </c>
      <c r="M10" s="30" t="s">
        <v>291</v>
      </c>
      <c r="N10" s="30" t="s">
        <v>291</v>
      </c>
      <c r="O10" s="30" t="s">
        <v>291</v>
      </c>
      <c r="P10" s="30" t="s">
        <v>291</v>
      </c>
      <c r="Q10" s="30" t="s">
        <v>291</v>
      </c>
      <c r="AA10" s="4" t="b">
        <f>IF(V9&lt;=6,TRUE,FALSE)</f>
        <v>0</v>
      </c>
    </row>
    <row r="11" spans="1:27">
      <c r="K11" t="s">
        <v>290</v>
      </c>
      <c r="L11" s="4" t="b">
        <f t="shared" ref="L11:Q11" si="0">IF(COUNTBLANK(L3:L8)=0,TRUE,FALSE)</f>
        <v>0</v>
      </c>
      <c r="M11" s="4" t="b">
        <f t="shared" si="0"/>
        <v>0</v>
      </c>
      <c r="N11" s="4" t="b">
        <f t="shared" si="0"/>
        <v>0</v>
      </c>
      <c r="O11" s="4" t="b">
        <f t="shared" si="0"/>
        <v>0</v>
      </c>
      <c r="P11" s="4" t="b">
        <f t="shared" si="0"/>
        <v>0</v>
      </c>
      <c r="Q11" s="4" t="b">
        <f t="shared" si="0"/>
        <v>0</v>
      </c>
    </row>
    <row r="13" spans="1:27">
      <c r="B13" s="44" t="s">
        <v>236</v>
      </c>
      <c r="D13" t="s">
        <v>55</v>
      </c>
      <c r="E13" t="s">
        <v>60</v>
      </c>
      <c r="F13" t="s">
        <v>176</v>
      </c>
      <c r="G13" t="s">
        <v>67</v>
      </c>
      <c r="H13" t="s">
        <v>58</v>
      </c>
      <c r="I13" t="s">
        <v>64</v>
      </c>
      <c r="L13" t="b">
        <f t="shared" ref="L13:Q13" si="1">IF(L$11,ISNUMBER(MATCH(D13,L$3:L$8,0)),TRUE)</f>
        <v>1</v>
      </c>
      <c r="M13" t="b">
        <f t="shared" si="1"/>
        <v>1</v>
      </c>
      <c r="N13" t="b">
        <f t="shared" si="1"/>
        <v>1</v>
      </c>
      <c r="O13" t="b">
        <f t="shared" si="1"/>
        <v>1</v>
      </c>
      <c r="P13" t="b">
        <f t="shared" si="1"/>
        <v>1</v>
      </c>
      <c r="Q13" t="b">
        <f t="shared" si="1"/>
        <v>1</v>
      </c>
      <c r="S13" t="b">
        <f t="shared" ref="S13:S64" si="2">AND(L13:Q13)</f>
        <v>1</v>
      </c>
    </row>
    <row r="14" spans="1:27">
      <c r="B14" s="44" t="s">
        <v>237</v>
      </c>
      <c r="D14" t="s">
        <v>55</v>
      </c>
      <c r="E14" t="s">
        <v>77</v>
      </c>
      <c r="F14" t="s">
        <v>57</v>
      </c>
      <c r="G14" t="s">
        <v>79</v>
      </c>
      <c r="H14" t="s">
        <v>66</v>
      </c>
      <c r="I14" t="s">
        <v>63</v>
      </c>
      <c r="L14" t="b">
        <f t="shared" ref="L14:L64" si="3">IF(L$11,ISNUMBER(MATCH(D14,L$3:L$8,0)),TRUE)</f>
        <v>1</v>
      </c>
      <c r="M14" t="b">
        <f t="shared" ref="M14:M64" si="4">IF(M$11,ISNUMBER(MATCH(E14,M$3:M$8,0)),TRUE)</f>
        <v>1</v>
      </c>
      <c r="N14" t="b">
        <f t="shared" ref="N14:N64" si="5">IF(N$11,ISNUMBER(MATCH(F14,N$3:N$8,0)),TRUE)</f>
        <v>1</v>
      </c>
      <c r="O14" t="b">
        <f t="shared" ref="O14:O64" si="6">IF(O$11,ISNUMBER(MATCH(G14,O$3:O$8,0)),TRUE)</f>
        <v>1</v>
      </c>
      <c r="P14" t="b">
        <f t="shared" ref="P14:P64" si="7">IF(P$11,ISNUMBER(MATCH(H14,P$3:P$8,0)),TRUE)</f>
        <v>1</v>
      </c>
      <c r="Q14" t="b">
        <f t="shared" ref="Q14:Q64" si="8">IF(Q$11,ISNUMBER(MATCH(I14,Q$3:Q$8,0)),TRUE)</f>
        <v>1</v>
      </c>
      <c r="S14" t="b">
        <f t="shared" si="2"/>
        <v>1</v>
      </c>
    </row>
    <row r="15" spans="1:27">
      <c r="B15" s="43" t="s">
        <v>238</v>
      </c>
      <c r="D15" t="s">
        <v>56</v>
      </c>
      <c r="E15" t="s">
        <v>66</v>
      </c>
      <c r="F15" t="s">
        <v>81</v>
      </c>
      <c r="G15" t="s">
        <v>64</v>
      </c>
      <c r="H15" t="s">
        <v>76</v>
      </c>
      <c r="I15" t="s">
        <v>61</v>
      </c>
      <c r="L15" t="b">
        <f t="shared" si="3"/>
        <v>1</v>
      </c>
      <c r="M15" t="b">
        <f t="shared" si="4"/>
        <v>1</v>
      </c>
      <c r="N15" t="b">
        <f t="shared" si="5"/>
        <v>1</v>
      </c>
      <c r="O15" t="b">
        <f t="shared" si="6"/>
        <v>1</v>
      </c>
      <c r="P15" t="b">
        <f t="shared" si="7"/>
        <v>1</v>
      </c>
      <c r="Q15" t="b">
        <f t="shared" si="8"/>
        <v>1</v>
      </c>
      <c r="S15" t="b">
        <f t="shared" si="2"/>
        <v>1</v>
      </c>
    </row>
    <row r="16" spans="1:27">
      <c r="B16" s="43" t="s">
        <v>239</v>
      </c>
      <c r="D16" t="s">
        <v>56</v>
      </c>
      <c r="E16" t="s">
        <v>67</v>
      </c>
      <c r="F16" t="s">
        <v>64</v>
      </c>
      <c r="G16" t="s">
        <v>64</v>
      </c>
      <c r="H16" t="s">
        <v>66</v>
      </c>
      <c r="I16" t="s">
        <v>77</v>
      </c>
      <c r="L16" t="b">
        <f t="shared" si="3"/>
        <v>1</v>
      </c>
      <c r="M16" t="b">
        <f t="shared" si="4"/>
        <v>1</v>
      </c>
      <c r="N16" t="b">
        <f t="shared" si="5"/>
        <v>1</v>
      </c>
      <c r="O16" t="b">
        <f t="shared" si="6"/>
        <v>1</v>
      </c>
      <c r="P16" t="b">
        <f t="shared" si="7"/>
        <v>1</v>
      </c>
      <c r="Q16" t="b">
        <f t="shared" si="8"/>
        <v>1</v>
      </c>
      <c r="S16" t="b">
        <f t="shared" si="2"/>
        <v>1</v>
      </c>
    </row>
    <row r="17" spans="2:19">
      <c r="B17" s="43" t="s">
        <v>240</v>
      </c>
      <c r="D17" t="s">
        <v>57</v>
      </c>
      <c r="E17" t="s">
        <v>76</v>
      </c>
      <c r="F17" t="s">
        <v>75</v>
      </c>
      <c r="G17" t="s">
        <v>79</v>
      </c>
      <c r="H17" t="s">
        <v>61</v>
      </c>
      <c r="I17" t="s">
        <v>63</v>
      </c>
      <c r="L17" t="b">
        <f t="shared" si="3"/>
        <v>1</v>
      </c>
      <c r="M17" t="b">
        <f t="shared" si="4"/>
        <v>1</v>
      </c>
      <c r="N17" t="b">
        <f t="shared" si="5"/>
        <v>1</v>
      </c>
      <c r="O17" t="b">
        <f t="shared" si="6"/>
        <v>1</v>
      </c>
      <c r="P17" t="b">
        <f t="shared" si="7"/>
        <v>1</v>
      </c>
      <c r="Q17" t="b">
        <f t="shared" si="8"/>
        <v>1</v>
      </c>
      <c r="S17" t="b">
        <f t="shared" si="2"/>
        <v>1</v>
      </c>
    </row>
    <row r="18" spans="2:19">
      <c r="B18" s="43" t="s">
        <v>241</v>
      </c>
      <c r="D18" t="s">
        <v>57</v>
      </c>
      <c r="E18" t="s">
        <v>66</v>
      </c>
      <c r="F18" t="s">
        <v>63</v>
      </c>
      <c r="G18" t="s">
        <v>77</v>
      </c>
      <c r="H18" t="s">
        <v>61</v>
      </c>
      <c r="I18" t="s">
        <v>63</v>
      </c>
      <c r="L18" t="b">
        <f t="shared" si="3"/>
        <v>1</v>
      </c>
      <c r="M18" t="b">
        <f t="shared" si="4"/>
        <v>1</v>
      </c>
      <c r="N18" t="b">
        <f t="shared" si="5"/>
        <v>1</v>
      </c>
      <c r="O18" t="b">
        <f t="shared" si="6"/>
        <v>1</v>
      </c>
      <c r="P18" t="b">
        <f t="shared" si="7"/>
        <v>1</v>
      </c>
      <c r="Q18" t="b">
        <f t="shared" si="8"/>
        <v>1</v>
      </c>
      <c r="S18" t="b">
        <f t="shared" si="2"/>
        <v>1</v>
      </c>
    </row>
    <row r="19" spans="2:19">
      <c r="B19" s="43" t="s">
        <v>242</v>
      </c>
      <c r="D19" t="s">
        <v>60</v>
      </c>
      <c r="E19" t="s">
        <v>55</v>
      </c>
      <c r="F19" t="s">
        <v>84</v>
      </c>
      <c r="G19" t="s">
        <v>75</v>
      </c>
      <c r="H19" t="s">
        <v>61</v>
      </c>
      <c r="I19" t="s">
        <v>77</v>
      </c>
      <c r="L19" t="b">
        <f t="shared" si="3"/>
        <v>1</v>
      </c>
      <c r="M19" t="b">
        <f t="shared" si="4"/>
        <v>1</v>
      </c>
      <c r="N19" t="b">
        <f t="shared" si="5"/>
        <v>1</v>
      </c>
      <c r="O19" t="b">
        <f t="shared" si="6"/>
        <v>1</v>
      </c>
      <c r="P19" t="b">
        <f t="shared" si="7"/>
        <v>1</v>
      </c>
      <c r="Q19" t="b">
        <f t="shared" si="8"/>
        <v>1</v>
      </c>
      <c r="S19" t="b">
        <f t="shared" si="2"/>
        <v>1</v>
      </c>
    </row>
    <row r="20" spans="2:19">
      <c r="B20" s="43" t="s">
        <v>243</v>
      </c>
      <c r="D20" t="s">
        <v>60</v>
      </c>
      <c r="E20" t="s">
        <v>61</v>
      </c>
      <c r="F20" t="s">
        <v>84</v>
      </c>
      <c r="G20" t="s">
        <v>66</v>
      </c>
      <c r="H20" t="s">
        <v>64</v>
      </c>
      <c r="I20" t="s">
        <v>61</v>
      </c>
      <c r="L20" t="b">
        <f t="shared" si="3"/>
        <v>1</v>
      </c>
      <c r="M20" t="b">
        <f t="shared" si="4"/>
        <v>1</v>
      </c>
      <c r="N20" t="b">
        <f t="shared" si="5"/>
        <v>1</v>
      </c>
      <c r="O20" t="b">
        <f t="shared" si="6"/>
        <v>1</v>
      </c>
      <c r="P20" t="b">
        <f t="shared" si="7"/>
        <v>1</v>
      </c>
      <c r="Q20" t="b">
        <f t="shared" si="8"/>
        <v>1</v>
      </c>
      <c r="S20" t="b">
        <f t="shared" si="2"/>
        <v>1</v>
      </c>
    </row>
    <row r="21" spans="2:19">
      <c r="B21" s="43" t="s">
        <v>244</v>
      </c>
      <c r="D21" t="s">
        <v>61</v>
      </c>
      <c r="E21" t="s">
        <v>77</v>
      </c>
      <c r="F21" t="s">
        <v>80</v>
      </c>
      <c r="G21" t="s">
        <v>76</v>
      </c>
      <c r="H21" t="s">
        <v>58</v>
      </c>
      <c r="I21" t="s">
        <v>64</v>
      </c>
      <c r="L21" t="b">
        <f t="shared" si="3"/>
        <v>1</v>
      </c>
      <c r="M21" t="b">
        <f t="shared" si="4"/>
        <v>1</v>
      </c>
      <c r="N21" t="b">
        <f t="shared" si="5"/>
        <v>1</v>
      </c>
      <c r="O21" t="b">
        <f t="shared" si="6"/>
        <v>1</v>
      </c>
      <c r="P21" t="b">
        <f t="shared" si="7"/>
        <v>1</v>
      </c>
      <c r="Q21" t="b">
        <f t="shared" si="8"/>
        <v>1</v>
      </c>
      <c r="S21" t="b">
        <f t="shared" si="2"/>
        <v>1</v>
      </c>
    </row>
    <row r="22" spans="2:19">
      <c r="B22" s="43" t="s">
        <v>245</v>
      </c>
      <c r="D22" t="s">
        <v>61</v>
      </c>
      <c r="E22" t="s">
        <v>96</v>
      </c>
      <c r="F22" t="s">
        <v>66</v>
      </c>
      <c r="G22" t="s">
        <v>80</v>
      </c>
      <c r="H22" t="s">
        <v>96</v>
      </c>
      <c r="I22" t="s">
        <v>61</v>
      </c>
      <c r="L22" t="b">
        <f t="shared" si="3"/>
        <v>1</v>
      </c>
      <c r="M22" t="b">
        <f t="shared" si="4"/>
        <v>1</v>
      </c>
      <c r="N22" t="b">
        <f t="shared" si="5"/>
        <v>1</v>
      </c>
      <c r="O22" t="b">
        <f t="shared" si="6"/>
        <v>1</v>
      </c>
      <c r="P22" t="b">
        <f t="shared" si="7"/>
        <v>1</v>
      </c>
      <c r="Q22" t="b">
        <f t="shared" si="8"/>
        <v>1</v>
      </c>
      <c r="S22" t="b">
        <f t="shared" si="2"/>
        <v>1</v>
      </c>
    </row>
    <row r="23" spans="2:19">
      <c r="B23" s="43" t="s">
        <v>247</v>
      </c>
      <c r="D23" t="s">
        <v>59</v>
      </c>
      <c r="E23" t="s">
        <v>76</v>
      </c>
      <c r="F23" t="s">
        <v>77</v>
      </c>
      <c r="G23" t="s">
        <v>76</v>
      </c>
      <c r="H23" t="s">
        <v>58</v>
      </c>
      <c r="I23" t="s">
        <v>79</v>
      </c>
      <c r="L23" t="b">
        <f t="shared" si="3"/>
        <v>1</v>
      </c>
      <c r="M23" t="b">
        <f t="shared" si="4"/>
        <v>1</v>
      </c>
      <c r="N23" t="b">
        <f t="shared" si="5"/>
        <v>1</v>
      </c>
      <c r="O23" t="b">
        <f t="shared" si="6"/>
        <v>1</v>
      </c>
      <c r="P23" t="b">
        <f t="shared" si="7"/>
        <v>1</v>
      </c>
      <c r="Q23" t="b">
        <f t="shared" si="8"/>
        <v>1</v>
      </c>
      <c r="S23" t="b">
        <f t="shared" si="2"/>
        <v>1</v>
      </c>
    </row>
    <row r="24" spans="2:19">
      <c r="B24" s="43" t="s">
        <v>246</v>
      </c>
      <c r="D24" t="s">
        <v>59</v>
      </c>
      <c r="E24" t="s">
        <v>66</v>
      </c>
      <c r="F24" t="s">
        <v>63</v>
      </c>
      <c r="G24" t="s">
        <v>62</v>
      </c>
      <c r="H24" t="s">
        <v>61</v>
      </c>
      <c r="I24" t="s">
        <v>64</v>
      </c>
      <c r="L24" t="b">
        <f t="shared" si="3"/>
        <v>1</v>
      </c>
      <c r="M24" t="b">
        <f t="shared" si="4"/>
        <v>1</v>
      </c>
      <c r="N24" t="b">
        <f t="shared" si="5"/>
        <v>1</v>
      </c>
      <c r="O24" t="b">
        <f t="shared" si="6"/>
        <v>1</v>
      </c>
      <c r="P24" t="b">
        <f t="shared" si="7"/>
        <v>1</v>
      </c>
      <c r="Q24" t="b">
        <f t="shared" si="8"/>
        <v>1</v>
      </c>
      <c r="S24" t="b">
        <f t="shared" si="2"/>
        <v>1</v>
      </c>
    </row>
    <row r="25" spans="2:19">
      <c r="B25" s="43" t="s">
        <v>248</v>
      </c>
      <c r="D25" t="s">
        <v>62</v>
      </c>
      <c r="E25" t="s">
        <v>61</v>
      </c>
      <c r="F25" t="s">
        <v>83</v>
      </c>
      <c r="G25" t="s">
        <v>58</v>
      </c>
      <c r="H25" t="s">
        <v>61</v>
      </c>
      <c r="I25" t="s">
        <v>63</v>
      </c>
      <c r="L25" t="b">
        <f t="shared" si="3"/>
        <v>1</v>
      </c>
      <c r="M25" t="b">
        <f t="shared" si="4"/>
        <v>1</v>
      </c>
      <c r="N25" t="b">
        <f t="shared" si="5"/>
        <v>1</v>
      </c>
      <c r="O25" t="b">
        <f t="shared" si="6"/>
        <v>1</v>
      </c>
      <c r="P25" t="b">
        <f t="shared" si="7"/>
        <v>1</v>
      </c>
      <c r="Q25" t="b">
        <f t="shared" si="8"/>
        <v>1</v>
      </c>
      <c r="S25" t="b">
        <f t="shared" si="2"/>
        <v>1</v>
      </c>
    </row>
    <row r="26" spans="2:19">
      <c r="B26" s="43" t="s">
        <v>249</v>
      </c>
      <c r="D26" t="s">
        <v>62</v>
      </c>
      <c r="E26" t="s">
        <v>80</v>
      </c>
      <c r="F26" t="s">
        <v>66</v>
      </c>
      <c r="G26" t="s">
        <v>56</v>
      </c>
      <c r="H26" t="s">
        <v>55</v>
      </c>
      <c r="I26" t="s">
        <v>80</v>
      </c>
      <c r="L26" t="b">
        <f t="shared" si="3"/>
        <v>1</v>
      </c>
      <c r="M26" t="b">
        <f t="shared" si="4"/>
        <v>1</v>
      </c>
      <c r="N26" t="b">
        <f t="shared" si="5"/>
        <v>1</v>
      </c>
      <c r="O26" t="b">
        <f t="shared" si="6"/>
        <v>1</v>
      </c>
      <c r="P26" t="b">
        <f t="shared" si="7"/>
        <v>1</v>
      </c>
      <c r="Q26" t="b">
        <f t="shared" si="8"/>
        <v>1</v>
      </c>
      <c r="S26" t="b">
        <f t="shared" si="2"/>
        <v>1</v>
      </c>
    </row>
    <row r="27" spans="2:19">
      <c r="B27" s="43" t="s">
        <v>250</v>
      </c>
      <c r="D27" t="s">
        <v>79</v>
      </c>
      <c r="E27" t="s">
        <v>55</v>
      </c>
      <c r="F27" t="s">
        <v>84</v>
      </c>
      <c r="G27" t="s">
        <v>84</v>
      </c>
      <c r="H27" t="s">
        <v>61</v>
      </c>
      <c r="I27" t="s">
        <v>63</v>
      </c>
      <c r="L27" t="b">
        <f t="shared" si="3"/>
        <v>1</v>
      </c>
      <c r="M27" t="b">
        <f t="shared" si="4"/>
        <v>1</v>
      </c>
      <c r="N27" t="b">
        <f t="shared" si="5"/>
        <v>1</v>
      </c>
      <c r="O27" t="b">
        <f t="shared" si="6"/>
        <v>1</v>
      </c>
      <c r="P27" t="b">
        <f t="shared" si="7"/>
        <v>1</v>
      </c>
      <c r="Q27" t="b">
        <f t="shared" si="8"/>
        <v>1</v>
      </c>
      <c r="S27" t="b">
        <f t="shared" si="2"/>
        <v>1</v>
      </c>
    </row>
    <row r="28" spans="2:19">
      <c r="B28" s="43" t="s">
        <v>251</v>
      </c>
      <c r="D28" t="s">
        <v>79</v>
      </c>
      <c r="E28" t="s">
        <v>61</v>
      </c>
      <c r="F28" t="s">
        <v>80</v>
      </c>
      <c r="G28" t="s">
        <v>76</v>
      </c>
      <c r="H28" t="s">
        <v>67</v>
      </c>
      <c r="I28" t="s">
        <v>84</v>
      </c>
      <c r="L28" t="b">
        <f t="shared" si="3"/>
        <v>1</v>
      </c>
      <c r="M28" t="b">
        <f t="shared" si="4"/>
        <v>1</v>
      </c>
      <c r="N28" t="b">
        <f t="shared" si="5"/>
        <v>1</v>
      </c>
      <c r="O28" t="b">
        <f t="shared" si="6"/>
        <v>1</v>
      </c>
      <c r="P28" t="b">
        <f t="shared" si="7"/>
        <v>1</v>
      </c>
      <c r="Q28" t="b">
        <f t="shared" si="8"/>
        <v>1</v>
      </c>
      <c r="S28" t="b">
        <f t="shared" si="2"/>
        <v>1</v>
      </c>
    </row>
    <row r="29" spans="2:19">
      <c r="B29" s="43" t="s">
        <v>252</v>
      </c>
      <c r="D29" t="s">
        <v>76</v>
      </c>
      <c r="E29" t="s">
        <v>62</v>
      </c>
      <c r="F29" t="s">
        <v>77</v>
      </c>
      <c r="G29" t="s">
        <v>76</v>
      </c>
      <c r="H29" t="s">
        <v>64</v>
      </c>
      <c r="I29" t="s">
        <v>61</v>
      </c>
      <c r="L29" t="b">
        <f t="shared" si="3"/>
        <v>1</v>
      </c>
      <c r="M29" t="b">
        <f t="shared" si="4"/>
        <v>1</v>
      </c>
      <c r="N29" t="b">
        <f t="shared" si="5"/>
        <v>1</v>
      </c>
      <c r="O29" t="b">
        <f t="shared" si="6"/>
        <v>1</v>
      </c>
      <c r="P29" t="b">
        <f t="shared" si="7"/>
        <v>1</v>
      </c>
      <c r="Q29" t="b">
        <f t="shared" si="8"/>
        <v>1</v>
      </c>
      <c r="S29" t="b">
        <f t="shared" si="2"/>
        <v>1</v>
      </c>
    </row>
    <row r="30" spans="2:19">
      <c r="B30" s="43" t="s">
        <v>253</v>
      </c>
      <c r="D30" t="s">
        <v>76</v>
      </c>
      <c r="E30" t="s">
        <v>77</v>
      </c>
      <c r="F30" t="s">
        <v>60</v>
      </c>
      <c r="G30" t="s">
        <v>76</v>
      </c>
      <c r="H30" t="s">
        <v>62</v>
      </c>
      <c r="I30" t="s">
        <v>66</v>
      </c>
      <c r="L30" t="b">
        <f t="shared" si="3"/>
        <v>1</v>
      </c>
      <c r="M30" t="b">
        <f t="shared" si="4"/>
        <v>1</v>
      </c>
      <c r="N30" t="b">
        <f t="shared" si="5"/>
        <v>1</v>
      </c>
      <c r="O30" t="b">
        <f t="shared" si="6"/>
        <v>1</v>
      </c>
      <c r="P30" t="b">
        <f t="shared" si="7"/>
        <v>1</v>
      </c>
      <c r="Q30" t="b">
        <f t="shared" si="8"/>
        <v>1</v>
      </c>
      <c r="S30" t="b">
        <f t="shared" si="2"/>
        <v>1</v>
      </c>
    </row>
    <row r="31" spans="2:19">
      <c r="B31" s="43" t="s">
        <v>254</v>
      </c>
      <c r="D31" t="s">
        <v>176</v>
      </c>
      <c r="E31" t="s">
        <v>76</v>
      </c>
      <c r="F31" t="s">
        <v>62</v>
      </c>
      <c r="G31" t="s">
        <v>58</v>
      </c>
      <c r="H31" t="s">
        <v>55</v>
      </c>
      <c r="I31" t="s">
        <v>81</v>
      </c>
      <c r="L31" t="b">
        <f t="shared" si="3"/>
        <v>1</v>
      </c>
      <c r="M31" t="b">
        <f t="shared" si="4"/>
        <v>1</v>
      </c>
      <c r="N31" t="b">
        <f t="shared" si="5"/>
        <v>1</v>
      </c>
      <c r="O31" t="b">
        <f t="shared" si="6"/>
        <v>1</v>
      </c>
      <c r="P31" t="b">
        <f t="shared" si="7"/>
        <v>1</v>
      </c>
      <c r="Q31" t="b">
        <f t="shared" si="8"/>
        <v>1</v>
      </c>
      <c r="S31" t="b">
        <f t="shared" si="2"/>
        <v>1</v>
      </c>
    </row>
    <row r="32" spans="2:19">
      <c r="B32" s="43" t="s">
        <v>255</v>
      </c>
      <c r="D32" t="s">
        <v>176</v>
      </c>
      <c r="E32" t="s">
        <v>67</v>
      </c>
      <c r="F32" t="s">
        <v>80</v>
      </c>
      <c r="G32" t="s">
        <v>76</v>
      </c>
      <c r="H32" t="s">
        <v>61</v>
      </c>
      <c r="I32" t="s">
        <v>64</v>
      </c>
      <c r="L32" t="b">
        <f t="shared" si="3"/>
        <v>1</v>
      </c>
      <c r="M32" t="b">
        <f t="shared" si="4"/>
        <v>1</v>
      </c>
      <c r="N32" t="b">
        <f t="shared" si="5"/>
        <v>1</v>
      </c>
      <c r="O32" t="b">
        <f t="shared" si="6"/>
        <v>1</v>
      </c>
      <c r="P32" t="b">
        <f t="shared" si="7"/>
        <v>1</v>
      </c>
      <c r="Q32" t="b">
        <f t="shared" si="8"/>
        <v>1</v>
      </c>
      <c r="S32" t="b">
        <f t="shared" si="2"/>
        <v>1</v>
      </c>
    </row>
    <row r="33" spans="2:19">
      <c r="B33" s="43" t="s">
        <v>256</v>
      </c>
      <c r="D33" t="s">
        <v>97</v>
      </c>
      <c r="E33" t="s">
        <v>55</v>
      </c>
      <c r="F33" t="s">
        <v>63</v>
      </c>
      <c r="G33" t="s">
        <v>55</v>
      </c>
      <c r="H33" t="s">
        <v>64</v>
      </c>
      <c r="I33" t="s">
        <v>61</v>
      </c>
      <c r="L33" t="b">
        <f t="shared" si="3"/>
        <v>1</v>
      </c>
      <c r="M33" t="b">
        <f t="shared" si="4"/>
        <v>1</v>
      </c>
      <c r="N33" t="b">
        <f t="shared" si="5"/>
        <v>1</v>
      </c>
      <c r="O33" t="b">
        <f t="shared" si="6"/>
        <v>1</v>
      </c>
      <c r="P33" t="b">
        <f t="shared" si="7"/>
        <v>1</v>
      </c>
      <c r="Q33" t="b">
        <f t="shared" si="8"/>
        <v>1</v>
      </c>
      <c r="S33" t="b">
        <f t="shared" si="2"/>
        <v>1</v>
      </c>
    </row>
    <row r="34" spans="2:19">
      <c r="B34" s="43" t="s">
        <v>257</v>
      </c>
      <c r="D34" t="s">
        <v>97</v>
      </c>
      <c r="E34" t="s">
        <v>61</v>
      </c>
      <c r="F34" t="s">
        <v>83</v>
      </c>
      <c r="G34" t="s">
        <v>75</v>
      </c>
      <c r="H34" t="s">
        <v>55</v>
      </c>
      <c r="I34" t="s">
        <v>60</v>
      </c>
      <c r="L34" t="b">
        <f t="shared" si="3"/>
        <v>1</v>
      </c>
      <c r="M34" t="b">
        <f t="shared" si="4"/>
        <v>1</v>
      </c>
      <c r="N34" t="b">
        <f t="shared" si="5"/>
        <v>1</v>
      </c>
      <c r="O34" t="b">
        <f t="shared" si="6"/>
        <v>1</v>
      </c>
      <c r="P34" t="b">
        <f t="shared" si="7"/>
        <v>1</v>
      </c>
      <c r="Q34" t="b">
        <f t="shared" si="8"/>
        <v>1</v>
      </c>
      <c r="S34" t="b">
        <f t="shared" si="2"/>
        <v>1</v>
      </c>
    </row>
    <row r="35" spans="2:19">
      <c r="B35" s="43" t="s">
        <v>258</v>
      </c>
      <c r="D35" t="s">
        <v>80</v>
      </c>
      <c r="E35" t="s">
        <v>55</v>
      </c>
      <c r="F35" t="s">
        <v>84</v>
      </c>
      <c r="G35" t="s">
        <v>56</v>
      </c>
      <c r="H35" t="s">
        <v>60</v>
      </c>
      <c r="I35" t="s">
        <v>55</v>
      </c>
      <c r="L35" t="b">
        <f t="shared" si="3"/>
        <v>1</v>
      </c>
      <c r="M35" t="b">
        <f t="shared" si="4"/>
        <v>1</v>
      </c>
      <c r="N35" t="b">
        <f t="shared" si="5"/>
        <v>1</v>
      </c>
      <c r="O35" t="b">
        <f t="shared" si="6"/>
        <v>1</v>
      </c>
      <c r="P35" t="b">
        <f t="shared" si="7"/>
        <v>1</v>
      </c>
      <c r="Q35" t="b">
        <f t="shared" si="8"/>
        <v>1</v>
      </c>
      <c r="S35" t="b">
        <f t="shared" si="2"/>
        <v>1</v>
      </c>
    </row>
    <row r="36" spans="2:19">
      <c r="B36" s="43" t="s">
        <v>259</v>
      </c>
      <c r="D36" t="s">
        <v>80</v>
      </c>
      <c r="E36" t="s">
        <v>76</v>
      </c>
      <c r="F36" t="s">
        <v>58</v>
      </c>
      <c r="G36" t="s">
        <v>64</v>
      </c>
      <c r="H36" t="s">
        <v>61</v>
      </c>
      <c r="I36" t="s">
        <v>77</v>
      </c>
      <c r="L36" t="b">
        <f t="shared" si="3"/>
        <v>1</v>
      </c>
      <c r="M36" t="b">
        <f t="shared" si="4"/>
        <v>1</v>
      </c>
      <c r="N36" t="b">
        <f t="shared" si="5"/>
        <v>1</v>
      </c>
      <c r="O36" t="b">
        <f t="shared" si="6"/>
        <v>1</v>
      </c>
      <c r="P36" t="b">
        <f t="shared" si="7"/>
        <v>1</v>
      </c>
      <c r="Q36" t="b">
        <f t="shared" si="8"/>
        <v>1</v>
      </c>
      <c r="S36" t="b">
        <f t="shared" si="2"/>
        <v>1</v>
      </c>
    </row>
    <row r="37" spans="2:19">
      <c r="B37" s="43" t="s">
        <v>260</v>
      </c>
      <c r="D37" t="s">
        <v>84</v>
      </c>
      <c r="E37" t="s">
        <v>55</v>
      </c>
      <c r="F37" t="s">
        <v>64</v>
      </c>
      <c r="G37" t="s">
        <v>64</v>
      </c>
      <c r="H37" t="s">
        <v>61</v>
      </c>
      <c r="I37" t="s">
        <v>63</v>
      </c>
      <c r="L37" t="b">
        <f t="shared" si="3"/>
        <v>1</v>
      </c>
      <c r="M37" t="b">
        <f t="shared" si="4"/>
        <v>1</v>
      </c>
      <c r="N37" t="b">
        <f t="shared" si="5"/>
        <v>1</v>
      </c>
      <c r="O37" t="b">
        <f t="shared" si="6"/>
        <v>1</v>
      </c>
      <c r="P37" t="b">
        <f t="shared" si="7"/>
        <v>1</v>
      </c>
      <c r="Q37" t="b">
        <f t="shared" si="8"/>
        <v>1</v>
      </c>
      <c r="S37" t="b">
        <f t="shared" si="2"/>
        <v>1</v>
      </c>
    </row>
    <row r="38" spans="2:19">
      <c r="B38" s="43" t="s">
        <v>261</v>
      </c>
      <c r="D38" t="s">
        <v>84</v>
      </c>
      <c r="E38" t="s">
        <v>61</v>
      </c>
      <c r="F38" t="s">
        <v>84</v>
      </c>
      <c r="G38" t="s">
        <v>66</v>
      </c>
      <c r="H38" t="s">
        <v>63</v>
      </c>
      <c r="I38" t="s">
        <v>83</v>
      </c>
      <c r="L38" t="b">
        <f t="shared" si="3"/>
        <v>1</v>
      </c>
      <c r="M38" t="b">
        <f t="shared" si="4"/>
        <v>1</v>
      </c>
      <c r="N38" t="b">
        <f t="shared" si="5"/>
        <v>1</v>
      </c>
      <c r="O38" t="b">
        <f t="shared" si="6"/>
        <v>1</v>
      </c>
      <c r="P38" t="b">
        <f t="shared" si="7"/>
        <v>1</v>
      </c>
      <c r="Q38" t="b">
        <f t="shared" si="8"/>
        <v>1</v>
      </c>
      <c r="S38" t="b">
        <f t="shared" si="2"/>
        <v>1</v>
      </c>
    </row>
    <row r="39" spans="2:19">
      <c r="B39" s="43" t="s">
        <v>262</v>
      </c>
      <c r="D39" t="s">
        <v>77</v>
      </c>
      <c r="E39" t="s">
        <v>61</v>
      </c>
      <c r="F39" t="s">
        <v>56</v>
      </c>
      <c r="G39" t="s">
        <v>67</v>
      </c>
      <c r="H39" t="s">
        <v>80</v>
      </c>
      <c r="I39" t="s">
        <v>55</v>
      </c>
      <c r="L39" t="b">
        <f t="shared" si="3"/>
        <v>1</v>
      </c>
      <c r="M39" t="b">
        <f t="shared" si="4"/>
        <v>1</v>
      </c>
      <c r="N39" t="b">
        <f t="shared" si="5"/>
        <v>1</v>
      </c>
      <c r="O39" t="b">
        <f t="shared" si="6"/>
        <v>1</v>
      </c>
      <c r="P39" t="b">
        <f t="shared" si="7"/>
        <v>1</v>
      </c>
      <c r="Q39" t="b">
        <f t="shared" si="8"/>
        <v>1</v>
      </c>
      <c r="S39" t="b">
        <f t="shared" si="2"/>
        <v>1</v>
      </c>
    </row>
    <row r="40" spans="2:19">
      <c r="B40" s="43" t="s">
        <v>263</v>
      </c>
      <c r="D40" t="s">
        <v>77</v>
      </c>
      <c r="E40" t="s">
        <v>76</v>
      </c>
      <c r="F40" t="s">
        <v>57</v>
      </c>
      <c r="G40" t="s">
        <v>97</v>
      </c>
      <c r="H40" t="s">
        <v>61</v>
      </c>
      <c r="I40" t="s">
        <v>80</v>
      </c>
      <c r="L40" t="b">
        <f t="shared" si="3"/>
        <v>1</v>
      </c>
      <c r="M40" t="b">
        <f t="shared" si="4"/>
        <v>1</v>
      </c>
      <c r="N40" t="b">
        <f t="shared" si="5"/>
        <v>1</v>
      </c>
      <c r="O40" t="b">
        <f t="shared" si="6"/>
        <v>1</v>
      </c>
      <c r="P40" t="b">
        <f t="shared" si="7"/>
        <v>1</v>
      </c>
      <c r="Q40" t="b">
        <f t="shared" si="8"/>
        <v>1</v>
      </c>
      <c r="S40" t="b">
        <f t="shared" si="2"/>
        <v>1</v>
      </c>
    </row>
    <row r="41" spans="2:19">
      <c r="B41" s="43" t="s">
        <v>264</v>
      </c>
      <c r="D41" t="s">
        <v>66</v>
      </c>
      <c r="E41" t="s">
        <v>96</v>
      </c>
      <c r="F41" t="s">
        <v>61</v>
      </c>
      <c r="G41" t="s">
        <v>63</v>
      </c>
      <c r="H41" t="s">
        <v>60</v>
      </c>
      <c r="I41" t="s">
        <v>66</v>
      </c>
      <c r="L41" t="b">
        <f t="shared" si="3"/>
        <v>1</v>
      </c>
      <c r="M41" t="b">
        <f t="shared" si="4"/>
        <v>1</v>
      </c>
      <c r="N41" t="b">
        <f t="shared" si="5"/>
        <v>1</v>
      </c>
      <c r="O41" t="b">
        <f t="shared" si="6"/>
        <v>1</v>
      </c>
      <c r="P41" t="b">
        <f t="shared" si="7"/>
        <v>1</v>
      </c>
      <c r="Q41" t="b">
        <f t="shared" si="8"/>
        <v>1</v>
      </c>
      <c r="S41" t="b">
        <f t="shared" si="2"/>
        <v>1</v>
      </c>
    </row>
    <row r="42" spans="2:19">
      <c r="B42" s="43" t="s">
        <v>265</v>
      </c>
      <c r="D42" t="s">
        <v>66</v>
      </c>
      <c r="E42" t="s">
        <v>165</v>
      </c>
      <c r="F42" t="s">
        <v>83</v>
      </c>
      <c r="G42" t="s">
        <v>62</v>
      </c>
      <c r="H42" t="s">
        <v>61</v>
      </c>
      <c r="I42" t="s">
        <v>77</v>
      </c>
      <c r="L42" t="b">
        <f t="shared" si="3"/>
        <v>1</v>
      </c>
      <c r="M42" t="b">
        <f t="shared" si="4"/>
        <v>1</v>
      </c>
      <c r="N42" t="b">
        <f t="shared" si="5"/>
        <v>1</v>
      </c>
      <c r="O42" t="b">
        <f t="shared" si="6"/>
        <v>1</v>
      </c>
      <c r="P42" t="b">
        <f t="shared" si="7"/>
        <v>1</v>
      </c>
      <c r="Q42" t="b">
        <f t="shared" si="8"/>
        <v>1</v>
      </c>
      <c r="S42" t="b">
        <f t="shared" si="2"/>
        <v>1</v>
      </c>
    </row>
    <row r="43" spans="2:19">
      <c r="B43" s="43" t="s">
        <v>266</v>
      </c>
      <c r="D43" t="s">
        <v>75</v>
      </c>
      <c r="E43" t="s">
        <v>61</v>
      </c>
      <c r="F43" t="s">
        <v>55</v>
      </c>
      <c r="G43" t="s">
        <v>77</v>
      </c>
      <c r="H43" t="s">
        <v>67</v>
      </c>
      <c r="I43" t="s">
        <v>64</v>
      </c>
      <c r="L43" t="b">
        <f t="shared" si="3"/>
        <v>1</v>
      </c>
      <c r="M43" t="b">
        <f t="shared" si="4"/>
        <v>1</v>
      </c>
      <c r="N43" t="b">
        <f t="shared" si="5"/>
        <v>1</v>
      </c>
      <c r="O43" t="b">
        <f t="shared" si="6"/>
        <v>1</v>
      </c>
      <c r="P43" t="b">
        <f t="shared" si="7"/>
        <v>1</v>
      </c>
      <c r="Q43" t="b">
        <f t="shared" si="8"/>
        <v>1</v>
      </c>
      <c r="S43" t="b">
        <f t="shared" si="2"/>
        <v>1</v>
      </c>
    </row>
    <row r="44" spans="2:19">
      <c r="B44" s="43" t="s">
        <v>267</v>
      </c>
      <c r="D44" t="s">
        <v>75</v>
      </c>
      <c r="E44" t="s">
        <v>79</v>
      </c>
      <c r="F44" t="s">
        <v>66</v>
      </c>
      <c r="G44" t="s">
        <v>64</v>
      </c>
      <c r="H44" t="s">
        <v>66</v>
      </c>
      <c r="I44" t="s">
        <v>77</v>
      </c>
      <c r="L44" t="b">
        <f t="shared" si="3"/>
        <v>1</v>
      </c>
      <c r="M44" t="b">
        <f t="shared" si="4"/>
        <v>1</v>
      </c>
      <c r="N44" t="b">
        <f t="shared" si="5"/>
        <v>1</v>
      </c>
      <c r="O44" t="b">
        <f t="shared" si="6"/>
        <v>1</v>
      </c>
      <c r="P44" t="b">
        <f t="shared" si="7"/>
        <v>1</v>
      </c>
      <c r="Q44" t="b">
        <f t="shared" si="8"/>
        <v>1</v>
      </c>
      <c r="S44" t="b">
        <f t="shared" si="2"/>
        <v>1</v>
      </c>
    </row>
    <row r="45" spans="2:19">
      <c r="B45" s="43" t="s">
        <v>268</v>
      </c>
      <c r="D45" t="s">
        <v>178</v>
      </c>
      <c r="E45" t="s">
        <v>67</v>
      </c>
      <c r="F45" t="s">
        <v>55</v>
      </c>
      <c r="G45" t="s">
        <v>63</v>
      </c>
      <c r="H45" t="s">
        <v>64</v>
      </c>
      <c r="I45" t="s">
        <v>177</v>
      </c>
      <c r="L45" t="b">
        <f t="shared" si="3"/>
        <v>1</v>
      </c>
      <c r="M45" t="b">
        <f t="shared" si="4"/>
        <v>1</v>
      </c>
      <c r="N45" t="b">
        <f t="shared" si="5"/>
        <v>1</v>
      </c>
      <c r="O45" t="b">
        <f t="shared" si="6"/>
        <v>1</v>
      </c>
      <c r="P45" t="b">
        <f t="shared" si="7"/>
        <v>1</v>
      </c>
      <c r="Q45" t="b">
        <f t="shared" si="8"/>
        <v>1</v>
      </c>
      <c r="S45" t="b">
        <f t="shared" si="2"/>
        <v>1</v>
      </c>
    </row>
    <row r="46" spans="2:19">
      <c r="B46" s="43" t="s">
        <v>269</v>
      </c>
      <c r="D46" t="s">
        <v>178</v>
      </c>
      <c r="E46" t="s">
        <v>67</v>
      </c>
      <c r="F46" t="s">
        <v>61</v>
      </c>
      <c r="G46" t="s">
        <v>56</v>
      </c>
      <c r="H46" t="s">
        <v>61</v>
      </c>
      <c r="I46" t="s">
        <v>57</v>
      </c>
      <c r="L46" t="b">
        <f t="shared" si="3"/>
        <v>1</v>
      </c>
      <c r="M46" t="b">
        <f t="shared" si="4"/>
        <v>1</v>
      </c>
      <c r="N46" t="b">
        <f t="shared" si="5"/>
        <v>1</v>
      </c>
      <c r="O46" t="b">
        <f t="shared" si="6"/>
        <v>1</v>
      </c>
      <c r="P46" t="b">
        <f t="shared" si="7"/>
        <v>1</v>
      </c>
      <c r="Q46" t="b">
        <f t="shared" si="8"/>
        <v>1</v>
      </c>
      <c r="S46" t="b">
        <f t="shared" si="2"/>
        <v>1</v>
      </c>
    </row>
    <row r="47" spans="2:19">
      <c r="B47" s="43" t="s">
        <v>270</v>
      </c>
      <c r="D47" t="s">
        <v>63</v>
      </c>
      <c r="E47" t="s">
        <v>61</v>
      </c>
      <c r="F47" t="s">
        <v>58</v>
      </c>
      <c r="G47" t="s">
        <v>76</v>
      </c>
      <c r="H47" t="s">
        <v>58</v>
      </c>
      <c r="I47" t="s">
        <v>64</v>
      </c>
      <c r="L47" t="b">
        <f t="shared" si="3"/>
        <v>1</v>
      </c>
      <c r="M47" t="b">
        <f t="shared" si="4"/>
        <v>1</v>
      </c>
      <c r="N47" t="b">
        <f t="shared" si="5"/>
        <v>1</v>
      </c>
      <c r="O47" t="b">
        <f t="shared" si="6"/>
        <v>1</v>
      </c>
      <c r="P47" t="b">
        <f t="shared" si="7"/>
        <v>1</v>
      </c>
      <c r="Q47" t="b">
        <f t="shared" si="8"/>
        <v>1</v>
      </c>
      <c r="S47" t="b">
        <f t="shared" si="2"/>
        <v>1</v>
      </c>
    </row>
    <row r="48" spans="2:19">
      <c r="B48" s="43" t="s">
        <v>271</v>
      </c>
      <c r="D48" t="s">
        <v>63</v>
      </c>
      <c r="E48" t="s">
        <v>76</v>
      </c>
      <c r="F48" t="s">
        <v>60</v>
      </c>
      <c r="G48" t="s">
        <v>60</v>
      </c>
      <c r="H48" t="s">
        <v>80</v>
      </c>
      <c r="I48" t="s">
        <v>61</v>
      </c>
      <c r="L48" t="b">
        <f t="shared" si="3"/>
        <v>1</v>
      </c>
      <c r="M48" t="b">
        <f t="shared" si="4"/>
        <v>1</v>
      </c>
      <c r="N48" t="b">
        <f t="shared" si="5"/>
        <v>1</v>
      </c>
      <c r="O48" t="b">
        <f t="shared" si="6"/>
        <v>1</v>
      </c>
      <c r="P48" t="b">
        <f t="shared" si="7"/>
        <v>1</v>
      </c>
      <c r="Q48" t="b">
        <f t="shared" si="8"/>
        <v>1</v>
      </c>
      <c r="S48" t="b">
        <f t="shared" si="2"/>
        <v>1</v>
      </c>
    </row>
    <row r="49" spans="2:19">
      <c r="B49" s="43" t="s">
        <v>272</v>
      </c>
      <c r="D49" t="s">
        <v>58</v>
      </c>
      <c r="E49" t="s">
        <v>76</v>
      </c>
      <c r="F49" t="s">
        <v>61</v>
      </c>
      <c r="G49" t="s">
        <v>63</v>
      </c>
      <c r="H49" t="s">
        <v>63</v>
      </c>
      <c r="I49" t="s">
        <v>55</v>
      </c>
      <c r="L49" t="b">
        <f t="shared" si="3"/>
        <v>1</v>
      </c>
      <c r="M49" t="b">
        <f t="shared" si="4"/>
        <v>1</v>
      </c>
      <c r="N49" t="b">
        <f t="shared" si="5"/>
        <v>1</v>
      </c>
      <c r="O49" t="b">
        <f t="shared" si="6"/>
        <v>1</v>
      </c>
      <c r="P49" t="b">
        <f t="shared" si="7"/>
        <v>1</v>
      </c>
      <c r="Q49" t="b">
        <f t="shared" si="8"/>
        <v>1</v>
      </c>
      <c r="S49" t="b">
        <f t="shared" si="2"/>
        <v>1</v>
      </c>
    </row>
    <row r="50" spans="2:19">
      <c r="B50" s="43" t="s">
        <v>273</v>
      </c>
      <c r="D50" t="s">
        <v>58</v>
      </c>
      <c r="E50" t="s">
        <v>64</v>
      </c>
      <c r="F50" t="s">
        <v>63</v>
      </c>
      <c r="G50" t="s">
        <v>76</v>
      </c>
      <c r="H50" t="s">
        <v>97</v>
      </c>
      <c r="I50" t="s">
        <v>61</v>
      </c>
      <c r="L50" t="b">
        <f t="shared" si="3"/>
        <v>1</v>
      </c>
      <c r="M50" t="b">
        <f t="shared" si="4"/>
        <v>1</v>
      </c>
      <c r="N50" t="b">
        <f t="shared" si="5"/>
        <v>1</v>
      </c>
      <c r="O50" t="b">
        <f t="shared" si="6"/>
        <v>1</v>
      </c>
      <c r="P50" t="b">
        <f t="shared" si="7"/>
        <v>1</v>
      </c>
      <c r="Q50" t="b">
        <f t="shared" si="8"/>
        <v>1</v>
      </c>
      <c r="S50" t="b">
        <f t="shared" si="2"/>
        <v>1</v>
      </c>
    </row>
    <row r="51" spans="2:19">
      <c r="B51" s="43" t="s">
        <v>274</v>
      </c>
      <c r="D51" t="s">
        <v>64</v>
      </c>
      <c r="E51" t="s">
        <v>61</v>
      </c>
      <c r="F51" t="s">
        <v>55</v>
      </c>
      <c r="G51" t="s">
        <v>75</v>
      </c>
      <c r="H51" t="s">
        <v>66</v>
      </c>
      <c r="I51" t="s">
        <v>64</v>
      </c>
      <c r="L51" t="b">
        <f t="shared" si="3"/>
        <v>1</v>
      </c>
      <c r="M51" t="b">
        <f t="shared" si="4"/>
        <v>1</v>
      </c>
      <c r="N51" t="b">
        <f t="shared" si="5"/>
        <v>1</v>
      </c>
      <c r="O51" t="b">
        <f t="shared" si="6"/>
        <v>1</v>
      </c>
      <c r="P51" t="b">
        <f t="shared" si="7"/>
        <v>1</v>
      </c>
      <c r="Q51" t="b">
        <f t="shared" si="8"/>
        <v>1</v>
      </c>
      <c r="S51" t="b">
        <f t="shared" si="2"/>
        <v>1</v>
      </c>
    </row>
    <row r="52" spans="2:19">
      <c r="B52" s="43" t="s">
        <v>275</v>
      </c>
      <c r="D52" t="s">
        <v>64</v>
      </c>
      <c r="E52" t="s">
        <v>81</v>
      </c>
      <c r="F52" t="s">
        <v>61</v>
      </c>
      <c r="G52" t="s">
        <v>77</v>
      </c>
      <c r="H52" t="s">
        <v>64</v>
      </c>
      <c r="I52" t="s">
        <v>83</v>
      </c>
      <c r="L52" t="b">
        <f t="shared" si="3"/>
        <v>1</v>
      </c>
      <c r="M52" t="b">
        <f t="shared" si="4"/>
        <v>1</v>
      </c>
      <c r="N52" t="b">
        <f t="shared" si="5"/>
        <v>1</v>
      </c>
      <c r="O52" t="b">
        <f t="shared" si="6"/>
        <v>1</v>
      </c>
      <c r="P52" t="b">
        <f t="shared" si="7"/>
        <v>1</v>
      </c>
      <c r="Q52" t="b">
        <f t="shared" si="8"/>
        <v>1</v>
      </c>
      <c r="S52" t="b">
        <f t="shared" si="2"/>
        <v>1</v>
      </c>
    </row>
    <row r="53" spans="2:19">
      <c r="B53" s="43" t="s">
        <v>277</v>
      </c>
      <c r="D53" t="s">
        <v>67</v>
      </c>
      <c r="E53" t="s">
        <v>80</v>
      </c>
      <c r="F53" t="s">
        <v>64</v>
      </c>
      <c r="G53" t="s">
        <v>76</v>
      </c>
      <c r="H53" t="s">
        <v>84</v>
      </c>
      <c r="I53" t="s">
        <v>55</v>
      </c>
      <c r="L53" t="b">
        <f t="shared" si="3"/>
        <v>1</v>
      </c>
      <c r="M53" t="b">
        <f t="shared" si="4"/>
        <v>1</v>
      </c>
      <c r="N53" t="b">
        <f t="shared" si="5"/>
        <v>1</v>
      </c>
      <c r="O53" t="b">
        <f t="shared" si="6"/>
        <v>1</v>
      </c>
      <c r="P53" t="b">
        <f t="shared" si="7"/>
        <v>1</v>
      </c>
      <c r="Q53" t="b">
        <f t="shared" si="8"/>
        <v>1</v>
      </c>
      <c r="S53" t="b">
        <f t="shared" si="2"/>
        <v>1</v>
      </c>
    </row>
    <row r="54" spans="2:19">
      <c r="B54" s="43" t="s">
        <v>276</v>
      </c>
      <c r="D54" t="s">
        <v>67</v>
      </c>
      <c r="E54" t="s">
        <v>77</v>
      </c>
      <c r="F54" t="s">
        <v>64</v>
      </c>
      <c r="G54" t="s">
        <v>66</v>
      </c>
      <c r="H54" t="s">
        <v>80</v>
      </c>
      <c r="I54" t="s">
        <v>60</v>
      </c>
      <c r="L54" t="b">
        <f t="shared" si="3"/>
        <v>1</v>
      </c>
      <c r="M54" t="b">
        <f t="shared" si="4"/>
        <v>1</v>
      </c>
      <c r="N54" t="b">
        <f t="shared" si="5"/>
        <v>1</v>
      </c>
      <c r="O54" t="b">
        <f t="shared" si="6"/>
        <v>1</v>
      </c>
      <c r="P54" t="b">
        <f t="shared" si="7"/>
        <v>1</v>
      </c>
      <c r="Q54" t="b">
        <f t="shared" si="8"/>
        <v>1</v>
      </c>
      <c r="S54" t="b">
        <f t="shared" si="2"/>
        <v>1</v>
      </c>
    </row>
    <row r="55" spans="2:19">
      <c r="B55" s="43" t="s">
        <v>278</v>
      </c>
      <c r="D55" t="s">
        <v>96</v>
      </c>
      <c r="E55" t="s">
        <v>76</v>
      </c>
      <c r="F55" t="s">
        <v>57</v>
      </c>
      <c r="G55" t="s">
        <v>64</v>
      </c>
      <c r="H55" t="s">
        <v>66</v>
      </c>
      <c r="I55" t="s">
        <v>63</v>
      </c>
      <c r="L55" t="b">
        <f t="shared" si="3"/>
        <v>1</v>
      </c>
      <c r="M55" t="b">
        <f t="shared" si="4"/>
        <v>1</v>
      </c>
      <c r="N55" t="b">
        <f t="shared" si="5"/>
        <v>1</v>
      </c>
      <c r="O55" t="b">
        <f t="shared" si="6"/>
        <v>1</v>
      </c>
      <c r="P55" t="b">
        <f t="shared" si="7"/>
        <v>1</v>
      </c>
      <c r="Q55" t="b">
        <f t="shared" si="8"/>
        <v>1</v>
      </c>
      <c r="S55" t="b">
        <f t="shared" si="2"/>
        <v>1</v>
      </c>
    </row>
    <row r="56" spans="2:19">
      <c r="B56" s="43" t="s">
        <v>279</v>
      </c>
      <c r="D56" t="s">
        <v>96</v>
      </c>
      <c r="E56" t="s">
        <v>76</v>
      </c>
      <c r="F56" t="s">
        <v>66</v>
      </c>
      <c r="G56" t="s">
        <v>80</v>
      </c>
      <c r="H56" t="s">
        <v>61</v>
      </c>
      <c r="I56" t="s">
        <v>64</v>
      </c>
      <c r="L56" t="b">
        <f t="shared" si="3"/>
        <v>1</v>
      </c>
      <c r="M56" t="b">
        <f t="shared" si="4"/>
        <v>1</v>
      </c>
      <c r="N56" t="b">
        <f t="shared" si="5"/>
        <v>1</v>
      </c>
      <c r="O56" t="b">
        <f t="shared" si="6"/>
        <v>1</v>
      </c>
      <c r="P56" t="b">
        <f t="shared" si="7"/>
        <v>1</v>
      </c>
      <c r="Q56" t="b">
        <f t="shared" si="8"/>
        <v>1</v>
      </c>
      <c r="S56" t="b">
        <f t="shared" si="2"/>
        <v>1</v>
      </c>
    </row>
    <row r="57" spans="2:19">
      <c r="B57" s="43" t="s">
        <v>280</v>
      </c>
      <c r="D57" t="s">
        <v>81</v>
      </c>
      <c r="E57" t="s">
        <v>76</v>
      </c>
      <c r="F57" t="s">
        <v>64</v>
      </c>
      <c r="G57" t="s">
        <v>79</v>
      </c>
      <c r="H57" t="s">
        <v>61</v>
      </c>
      <c r="I57" t="s">
        <v>63</v>
      </c>
      <c r="L57" t="b">
        <f t="shared" si="3"/>
        <v>1</v>
      </c>
      <c r="M57" t="b">
        <f t="shared" si="4"/>
        <v>1</v>
      </c>
      <c r="N57" t="b">
        <f t="shared" si="5"/>
        <v>1</v>
      </c>
      <c r="O57" t="b">
        <f t="shared" si="6"/>
        <v>1</v>
      </c>
      <c r="P57" t="b">
        <f t="shared" si="7"/>
        <v>1</v>
      </c>
      <c r="Q57" t="b">
        <f t="shared" si="8"/>
        <v>1</v>
      </c>
      <c r="S57" t="b">
        <f t="shared" si="2"/>
        <v>1</v>
      </c>
    </row>
    <row r="58" spans="2:19">
      <c r="B58" s="43" t="s">
        <v>281</v>
      </c>
      <c r="D58" t="s">
        <v>81</v>
      </c>
      <c r="E58" t="s">
        <v>63</v>
      </c>
      <c r="F58" t="s">
        <v>61</v>
      </c>
      <c r="G58" t="s">
        <v>77</v>
      </c>
      <c r="H58" t="s">
        <v>57</v>
      </c>
      <c r="I58" t="s">
        <v>79</v>
      </c>
      <c r="L58" t="b">
        <f t="shared" si="3"/>
        <v>1</v>
      </c>
      <c r="M58" t="b">
        <f t="shared" si="4"/>
        <v>1</v>
      </c>
      <c r="N58" t="b">
        <f t="shared" si="5"/>
        <v>1</v>
      </c>
      <c r="O58" t="b">
        <f t="shared" si="6"/>
        <v>1</v>
      </c>
      <c r="P58" t="b">
        <f t="shared" si="7"/>
        <v>1</v>
      </c>
      <c r="Q58" t="b">
        <f t="shared" si="8"/>
        <v>1</v>
      </c>
      <c r="S58" t="b">
        <f t="shared" si="2"/>
        <v>1</v>
      </c>
    </row>
    <row r="59" spans="2:19">
      <c r="B59" s="43" t="s">
        <v>282</v>
      </c>
      <c r="D59" t="s">
        <v>165</v>
      </c>
      <c r="E59" t="s">
        <v>61</v>
      </c>
      <c r="F59" t="s">
        <v>77</v>
      </c>
      <c r="G59" t="s">
        <v>66</v>
      </c>
      <c r="H59" t="s">
        <v>77</v>
      </c>
      <c r="I59" t="s">
        <v>58</v>
      </c>
      <c r="L59" t="b">
        <f t="shared" si="3"/>
        <v>1</v>
      </c>
      <c r="M59" t="b">
        <f t="shared" si="4"/>
        <v>1</v>
      </c>
      <c r="N59" t="b">
        <f t="shared" si="5"/>
        <v>1</v>
      </c>
      <c r="O59" t="b">
        <f t="shared" si="6"/>
        <v>1</v>
      </c>
      <c r="P59" t="b">
        <f t="shared" si="7"/>
        <v>1</v>
      </c>
      <c r="Q59" t="b">
        <f t="shared" si="8"/>
        <v>1</v>
      </c>
      <c r="S59" t="b">
        <f t="shared" si="2"/>
        <v>1</v>
      </c>
    </row>
    <row r="60" spans="2:19">
      <c r="B60" s="43" t="s">
        <v>283</v>
      </c>
      <c r="D60" t="s">
        <v>165</v>
      </c>
      <c r="E60" t="s">
        <v>83</v>
      </c>
      <c r="F60" t="s">
        <v>80</v>
      </c>
      <c r="G60" t="s">
        <v>66</v>
      </c>
      <c r="H60" t="s">
        <v>58</v>
      </c>
      <c r="I60" t="s">
        <v>61</v>
      </c>
      <c r="L60" t="b">
        <f t="shared" si="3"/>
        <v>1</v>
      </c>
      <c r="M60" t="b">
        <f t="shared" si="4"/>
        <v>1</v>
      </c>
      <c r="N60" t="b">
        <f t="shared" si="5"/>
        <v>1</v>
      </c>
      <c r="O60" t="b">
        <f t="shared" si="6"/>
        <v>1</v>
      </c>
      <c r="P60" t="b">
        <f t="shared" si="7"/>
        <v>1</v>
      </c>
      <c r="Q60" t="b">
        <f t="shared" si="8"/>
        <v>1</v>
      </c>
      <c r="S60" t="b">
        <f t="shared" si="2"/>
        <v>1</v>
      </c>
    </row>
    <row r="61" spans="2:19">
      <c r="B61" s="43" t="s">
        <v>284</v>
      </c>
      <c r="D61" t="s">
        <v>83</v>
      </c>
      <c r="E61" t="s">
        <v>61</v>
      </c>
      <c r="F61" t="s">
        <v>80</v>
      </c>
      <c r="G61" t="s">
        <v>80</v>
      </c>
      <c r="H61" t="s">
        <v>66</v>
      </c>
      <c r="I61" t="s">
        <v>81</v>
      </c>
      <c r="L61" t="b">
        <f t="shared" si="3"/>
        <v>1</v>
      </c>
      <c r="M61" t="b">
        <f t="shared" si="4"/>
        <v>1</v>
      </c>
      <c r="N61" t="b">
        <f t="shared" si="5"/>
        <v>1</v>
      </c>
      <c r="O61" t="b">
        <f t="shared" si="6"/>
        <v>1</v>
      </c>
      <c r="P61" t="b">
        <f t="shared" si="7"/>
        <v>1</v>
      </c>
      <c r="Q61" t="b">
        <f t="shared" si="8"/>
        <v>1</v>
      </c>
      <c r="S61" t="b">
        <f t="shared" si="2"/>
        <v>1</v>
      </c>
    </row>
    <row r="62" spans="2:19">
      <c r="B62" s="43" t="s">
        <v>285</v>
      </c>
      <c r="D62" t="s">
        <v>83</v>
      </c>
      <c r="E62" t="s">
        <v>66</v>
      </c>
      <c r="F62" t="s">
        <v>62</v>
      </c>
      <c r="G62" t="s">
        <v>67</v>
      </c>
      <c r="H62" t="s">
        <v>63</v>
      </c>
      <c r="I62" t="s">
        <v>64</v>
      </c>
      <c r="L62" t="b">
        <f t="shared" si="3"/>
        <v>1</v>
      </c>
      <c r="M62" t="b">
        <f t="shared" si="4"/>
        <v>1</v>
      </c>
      <c r="N62" t="b">
        <f t="shared" si="5"/>
        <v>1</v>
      </c>
      <c r="O62" t="b">
        <f t="shared" si="6"/>
        <v>1</v>
      </c>
      <c r="P62" t="b">
        <f t="shared" si="7"/>
        <v>1</v>
      </c>
      <c r="Q62" t="b">
        <f t="shared" si="8"/>
        <v>1</v>
      </c>
      <c r="S62" t="b">
        <f t="shared" si="2"/>
        <v>1</v>
      </c>
    </row>
    <row r="63" spans="2:19">
      <c r="B63" s="43" t="s">
        <v>286</v>
      </c>
      <c r="D63" t="s">
        <v>177</v>
      </c>
      <c r="E63" t="s">
        <v>61</v>
      </c>
      <c r="F63" t="s">
        <v>77</v>
      </c>
      <c r="G63" t="s">
        <v>76</v>
      </c>
      <c r="H63" t="s">
        <v>64</v>
      </c>
      <c r="I63" t="s">
        <v>79</v>
      </c>
      <c r="L63" t="b">
        <f t="shared" si="3"/>
        <v>1</v>
      </c>
      <c r="M63" t="b">
        <f t="shared" si="4"/>
        <v>1</v>
      </c>
      <c r="N63" t="b">
        <f t="shared" si="5"/>
        <v>1</v>
      </c>
      <c r="O63" t="b">
        <f t="shared" si="6"/>
        <v>1</v>
      </c>
      <c r="P63" t="b">
        <f t="shared" si="7"/>
        <v>1</v>
      </c>
      <c r="Q63" t="b">
        <f t="shared" si="8"/>
        <v>1</v>
      </c>
      <c r="S63" t="b">
        <f t="shared" si="2"/>
        <v>1</v>
      </c>
    </row>
    <row r="64" spans="2:19">
      <c r="B64" s="43" t="s">
        <v>287</v>
      </c>
      <c r="D64" t="s">
        <v>177</v>
      </c>
      <c r="E64" t="s">
        <v>66</v>
      </c>
      <c r="F64" t="s">
        <v>60</v>
      </c>
      <c r="G64" t="s">
        <v>76</v>
      </c>
      <c r="H64" t="s">
        <v>55</v>
      </c>
      <c r="I64" t="s">
        <v>57</v>
      </c>
      <c r="L64" t="b">
        <f t="shared" si="3"/>
        <v>1</v>
      </c>
      <c r="M64" t="b">
        <f t="shared" si="4"/>
        <v>1</v>
      </c>
      <c r="N64" t="b">
        <f t="shared" si="5"/>
        <v>1</v>
      </c>
      <c r="O64" t="b">
        <f t="shared" si="6"/>
        <v>1</v>
      </c>
      <c r="P64" t="b">
        <f t="shared" si="7"/>
        <v>1</v>
      </c>
      <c r="Q64" t="b">
        <f t="shared" si="8"/>
        <v>1</v>
      </c>
      <c r="S64" t="b">
        <f t="shared" si="2"/>
        <v>1</v>
      </c>
    </row>
  </sheetData>
  <sheetProtection sheet="1" objects="1" scenarios="1"/>
  <protectedRanges>
    <protectedRange sqref="L3:Q8" name="範圍1"/>
  </protectedRanges>
  <mergeCells count="1">
    <mergeCell ref="T4:X7"/>
  </mergeCells>
  <phoneticPr fontId="1" type="noConversion"/>
  <conditionalFormatting sqref="V9">
    <cfRule type="colorScale" priority="1">
      <colorScale>
        <cfvo type="num" val="0"/>
        <cfvo type="num" val="6"/>
        <cfvo type="num" val="12"/>
        <color rgb="FF00B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>
    <tabColor rgb="FFFF6969"/>
  </sheetPr>
  <dimension ref="A1:V31"/>
  <sheetViews>
    <sheetView zoomScale="79" workbookViewId="0">
      <selection activeCell="M12" sqref="M12"/>
    </sheetView>
  </sheetViews>
  <sheetFormatPr defaultRowHeight="15.75"/>
  <cols>
    <col min="2" max="2" width="9.5" bestFit="1" customWidth="1"/>
    <col min="9" max="9" width="9.5" bestFit="1" customWidth="1"/>
    <col min="16" max="16" width="9.5" bestFit="1" customWidth="1"/>
  </cols>
  <sheetData>
    <row r="1" spans="1:21">
      <c r="I1" s="91"/>
      <c r="J1" s="91"/>
      <c r="K1" s="91"/>
      <c r="L1" s="91"/>
      <c r="M1" s="91"/>
    </row>
    <row r="2" spans="1:21">
      <c r="I2">
        <v>1</v>
      </c>
      <c r="J2">
        <v>2</v>
      </c>
      <c r="K2">
        <v>3</v>
      </c>
      <c r="L2">
        <v>4</v>
      </c>
      <c r="M2">
        <v>5</v>
      </c>
      <c r="O2" t="s">
        <v>42</v>
      </c>
    </row>
    <row r="3" spans="1:21" ht="25.5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I3" s="18"/>
      <c r="J3" s="18"/>
      <c r="K3" s="18"/>
      <c r="L3" s="18"/>
      <c r="M3" s="18"/>
      <c r="P3" s="20" t="s">
        <v>0</v>
      </c>
      <c r="Q3" s="20" t="s">
        <v>1</v>
      </c>
      <c r="R3" s="20" t="s">
        <v>2</v>
      </c>
      <c r="S3" s="20" t="s">
        <v>3</v>
      </c>
      <c r="T3" s="19" t="s">
        <v>4</v>
      </c>
      <c r="U3" s="15"/>
    </row>
    <row r="4" spans="1:21" ht="25.5"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I4" s="18"/>
      <c r="J4" s="18"/>
      <c r="K4" s="18"/>
      <c r="L4" s="18"/>
      <c r="M4" s="18"/>
      <c r="P4" s="20" t="s">
        <v>5</v>
      </c>
      <c r="Q4" s="19" t="s">
        <v>6</v>
      </c>
      <c r="R4" s="19" t="s">
        <v>7</v>
      </c>
      <c r="S4" s="19" t="s">
        <v>8</v>
      </c>
      <c r="T4" s="19" t="s">
        <v>9</v>
      </c>
      <c r="U4" s="15"/>
    </row>
    <row r="5" spans="1:21" ht="25.5">
      <c r="B5" s="7" t="s">
        <v>10</v>
      </c>
      <c r="C5" s="7" t="s">
        <v>11</v>
      </c>
      <c r="D5" s="7" t="s">
        <v>12</v>
      </c>
      <c r="E5" s="7" t="s">
        <v>13</v>
      </c>
      <c r="F5" s="7" t="s">
        <v>14</v>
      </c>
      <c r="I5" s="18"/>
      <c r="J5" s="18"/>
      <c r="K5" s="18"/>
      <c r="L5" s="18"/>
      <c r="M5" s="18"/>
      <c r="P5" s="20" t="s">
        <v>10</v>
      </c>
      <c r="Q5" s="20" t="s">
        <v>11</v>
      </c>
      <c r="R5" s="19" t="s">
        <v>12</v>
      </c>
      <c r="S5" s="19" t="s">
        <v>13</v>
      </c>
      <c r="T5" s="20" t="s">
        <v>14</v>
      </c>
      <c r="U5" s="15"/>
    </row>
    <row r="6" spans="1:21" ht="25.5">
      <c r="B6" s="7" t="s">
        <v>15</v>
      </c>
      <c r="C6" s="7" t="s">
        <v>16</v>
      </c>
      <c r="D6" s="7" t="s">
        <v>17</v>
      </c>
      <c r="E6" s="7" t="s">
        <v>18</v>
      </c>
      <c r="F6" s="7" t="s">
        <v>19</v>
      </c>
      <c r="I6" s="18"/>
      <c r="J6" s="18"/>
      <c r="K6" s="18"/>
      <c r="L6" s="18"/>
      <c r="M6" s="18"/>
      <c r="P6" s="20" t="s">
        <v>15</v>
      </c>
      <c r="Q6" s="20" t="s">
        <v>16</v>
      </c>
      <c r="R6" s="19" t="s">
        <v>17</v>
      </c>
      <c r="S6" s="19" t="s">
        <v>18</v>
      </c>
      <c r="T6" s="19" t="s">
        <v>19</v>
      </c>
      <c r="U6" s="15"/>
    </row>
    <row r="7" spans="1:21" ht="25.5">
      <c r="B7" s="7" t="s">
        <v>20</v>
      </c>
      <c r="C7" s="7" t="s">
        <v>21</v>
      </c>
      <c r="D7" s="7" t="s">
        <v>22</v>
      </c>
      <c r="E7" s="7" t="s">
        <v>23</v>
      </c>
      <c r="F7" s="7" t="s">
        <v>24</v>
      </c>
      <c r="I7" s="18"/>
      <c r="J7" s="18"/>
      <c r="K7" s="18"/>
      <c r="L7" s="18"/>
      <c r="M7" s="18"/>
      <c r="P7" s="19" t="s">
        <v>20</v>
      </c>
      <c r="Q7" s="19" t="s">
        <v>21</v>
      </c>
      <c r="R7" s="19" t="s">
        <v>22</v>
      </c>
      <c r="S7" s="19" t="s">
        <v>23</v>
      </c>
      <c r="T7" s="19" t="s">
        <v>24</v>
      </c>
      <c r="U7" s="15"/>
    </row>
    <row r="8" spans="1:21" ht="25.5">
      <c r="B8" s="7" t="s">
        <v>25</v>
      </c>
      <c r="C8" s="7" t="s">
        <v>26</v>
      </c>
      <c r="D8" s="7" t="s">
        <v>27</v>
      </c>
      <c r="E8" s="7" t="s">
        <v>28</v>
      </c>
      <c r="F8" s="7" t="s">
        <v>29</v>
      </c>
      <c r="I8" s="18"/>
      <c r="J8" s="18"/>
      <c r="K8" s="18"/>
      <c r="L8" s="18"/>
      <c r="M8" s="18"/>
      <c r="P8" s="19" t="s">
        <v>25</v>
      </c>
      <c r="Q8" s="19" t="s">
        <v>26</v>
      </c>
      <c r="R8" s="19" t="s">
        <v>27</v>
      </c>
      <c r="S8" s="19" t="s">
        <v>28</v>
      </c>
      <c r="T8" s="20" t="s">
        <v>29</v>
      </c>
      <c r="U8" s="15"/>
    </row>
    <row r="9" spans="1:21" ht="25.5">
      <c r="B9" s="7" t="s">
        <v>30</v>
      </c>
      <c r="C9" s="7" t="s">
        <v>31</v>
      </c>
      <c r="D9" s="7" t="s">
        <v>32</v>
      </c>
      <c r="E9" s="7" t="s">
        <v>33</v>
      </c>
      <c r="F9" s="7" t="s">
        <v>34</v>
      </c>
      <c r="I9" s="24"/>
      <c r="J9" s="24"/>
      <c r="K9" s="24"/>
      <c r="L9" s="24"/>
      <c r="M9" s="24"/>
      <c r="P9" s="20" t="s">
        <v>30</v>
      </c>
      <c r="Q9" s="20" t="s">
        <v>31</v>
      </c>
      <c r="R9" s="20" t="s">
        <v>32</v>
      </c>
      <c r="S9" s="20" t="s">
        <v>33</v>
      </c>
      <c r="T9" s="20" t="s">
        <v>34</v>
      </c>
    </row>
    <row r="10" spans="1:21">
      <c r="H10" t="s">
        <v>78</v>
      </c>
    </row>
    <row r="11" spans="1:21">
      <c r="A11">
        <v>1</v>
      </c>
      <c r="H11">
        <v>2</v>
      </c>
      <c r="O11">
        <v>3</v>
      </c>
    </row>
    <row r="12" spans="1:21">
      <c r="B12" s="7" t="b">
        <f>IF(COUNTIF($I$3:$I$9,MID(B3,$A$11,1))&gt;0,TRUE,FALSE)</f>
        <v>0</v>
      </c>
      <c r="C12" s="7" t="b">
        <f>IF(COUNTIF($I$3:$I$9,MID(C3,$A$11,1))&gt;0,TRUE,FALSE)</f>
        <v>0</v>
      </c>
      <c r="D12" s="7" t="b">
        <f>IF(COUNTIF($I$3:$I$9,MID(D3,$A$11,1))&gt;0,TRUE,FALSE)</f>
        <v>0</v>
      </c>
      <c r="E12" s="7" t="b">
        <f>IF(COUNTIF($I$3:$I$9,MID(E3,$A$11,1))&gt;0,TRUE,FALSE)</f>
        <v>0</v>
      </c>
      <c r="F12" s="7" t="b">
        <f>IF(COUNTIF($I$3:$I$9,MID(F3,$A$11,1))&gt;0,TRUE,FALSE)</f>
        <v>0</v>
      </c>
      <c r="I12" s="7" t="b">
        <f t="shared" ref="I12:I18" si="0">IF(COUNTIF($J$3:$J$9,MID(B3,$H$11,1))&gt;0,TRUE,FALSE)</f>
        <v>0</v>
      </c>
      <c r="J12" s="7" t="b">
        <f t="shared" ref="J12:M18" si="1">IF(COUNTIF($J$3:$J$9,MID(C3,$H$11,1))&gt;0,TRUE,FALSE)</f>
        <v>0</v>
      </c>
      <c r="K12" s="7" t="b">
        <f t="shared" si="1"/>
        <v>0</v>
      </c>
      <c r="L12" s="7" t="b">
        <f t="shared" si="1"/>
        <v>0</v>
      </c>
      <c r="M12" s="7" t="b">
        <f t="shared" si="1"/>
        <v>0</v>
      </c>
      <c r="P12" s="7" t="b">
        <f>IF(COUNTIF($K$3:$K$9,MID(B3,$O$11,1))&gt;0,TRUE,FALSE)</f>
        <v>0</v>
      </c>
      <c r="Q12" s="7" t="b">
        <f t="shared" ref="Q12:T18" si="2">IF(COUNTIF($K$3:$K$9,MID(C3,$O$11,1))&gt;0,TRUE,FALSE)</f>
        <v>0</v>
      </c>
      <c r="R12" s="7" t="b">
        <f t="shared" si="2"/>
        <v>0</v>
      </c>
      <c r="S12" s="7" t="b">
        <f t="shared" si="2"/>
        <v>0</v>
      </c>
      <c r="T12" s="7" t="b">
        <f t="shared" si="2"/>
        <v>0</v>
      </c>
    </row>
    <row r="13" spans="1:21">
      <c r="B13" s="7" t="b">
        <f t="shared" ref="B13:F18" si="3">IF(COUNTIF($I$3:$I$9,MID(B4,$A$11,1))&gt;0,TRUE,FALSE)</f>
        <v>0</v>
      </c>
      <c r="C13" s="7" t="b">
        <f t="shared" si="3"/>
        <v>0</v>
      </c>
      <c r="D13" s="7" t="b">
        <f t="shared" si="3"/>
        <v>0</v>
      </c>
      <c r="E13" s="7" t="b">
        <f t="shared" si="3"/>
        <v>0</v>
      </c>
      <c r="F13" s="7" t="b">
        <f t="shared" si="3"/>
        <v>0</v>
      </c>
      <c r="I13" s="7" t="b">
        <f t="shared" si="0"/>
        <v>0</v>
      </c>
      <c r="J13" s="7" t="b">
        <f t="shared" si="1"/>
        <v>0</v>
      </c>
      <c r="K13" s="7" t="b">
        <f t="shared" si="1"/>
        <v>0</v>
      </c>
      <c r="L13" s="7" t="b">
        <f t="shared" si="1"/>
        <v>0</v>
      </c>
      <c r="M13" s="7" t="b">
        <f t="shared" si="1"/>
        <v>0</v>
      </c>
      <c r="P13" s="7" t="b">
        <f t="shared" ref="P13:P18" si="4">IF(COUNTIF($K$3:$K$9,MID(B4,$O$11,1))&gt;0,TRUE,FALSE)</f>
        <v>0</v>
      </c>
      <c r="Q13" s="7" t="b">
        <f t="shared" si="2"/>
        <v>0</v>
      </c>
      <c r="R13" s="7" t="b">
        <f t="shared" si="2"/>
        <v>0</v>
      </c>
      <c r="S13" s="7" t="b">
        <f t="shared" si="2"/>
        <v>0</v>
      </c>
      <c r="T13" s="7" t="b">
        <f t="shared" si="2"/>
        <v>0</v>
      </c>
    </row>
    <row r="14" spans="1:21">
      <c r="B14" s="7" t="b">
        <f t="shared" si="3"/>
        <v>0</v>
      </c>
      <c r="C14" s="7" t="b">
        <f t="shared" si="3"/>
        <v>0</v>
      </c>
      <c r="D14" s="7" t="b">
        <f t="shared" si="3"/>
        <v>0</v>
      </c>
      <c r="E14" s="7" t="b">
        <f t="shared" si="3"/>
        <v>0</v>
      </c>
      <c r="F14" s="7" t="b">
        <f t="shared" si="3"/>
        <v>0</v>
      </c>
      <c r="I14" s="7" t="b">
        <f t="shared" si="0"/>
        <v>0</v>
      </c>
      <c r="J14" s="7" t="b">
        <f t="shared" si="1"/>
        <v>0</v>
      </c>
      <c r="K14" s="7" t="b">
        <f t="shared" si="1"/>
        <v>0</v>
      </c>
      <c r="L14" s="7" t="b">
        <f t="shared" si="1"/>
        <v>0</v>
      </c>
      <c r="M14" s="7" t="b">
        <f t="shared" si="1"/>
        <v>0</v>
      </c>
      <c r="P14" s="7" t="b">
        <f t="shared" si="4"/>
        <v>0</v>
      </c>
      <c r="Q14" s="7" t="b">
        <f t="shared" si="2"/>
        <v>0</v>
      </c>
      <c r="R14" s="7" t="b">
        <f t="shared" si="2"/>
        <v>0</v>
      </c>
      <c r="S14" s="7" t="b">
        <f t="shared" si="2"/>
        <v>0</v>
      </c>
      <c r="T14" s="7" t="b">
        <f t="shared" si="2"/>
        <v>0</v>
      </c>
    </row>
    <row r="15" spans="1:21">
      <c r="B15" s="7" t="b">
        <f t="shared" si="3"/>
        <v>0</v>
      </c>
      <c r="C15" s="7" t="b">
        <f t="shared" si="3"/>
        <v>0</v>
      </c>
      <c r="D15" s="7" t="b">
        <f t="shared" si="3"/>
        <v>0</v>
      </c>
      <c r="E15" s="7" t="b">
        <f t="shared" si="3"/>
        <v>0</v>
      </c>
      <c r="F15" s="7" t="b">
        <f t="shared" si="3"/>
        <v>0</v>
      </c>
      <c r="I15" s="7" t="b">
        <f t="shared" si="0"/>
        <v>0</v>
      </c>
      <c r="J15" s="7" t="b">
        <f t="shared" si="1"/>
        <v>0</v>
      </c>
      <c r="K15" s="7" t="b">
        <f t="shared" si="1"/>
        <v>0</v>
      </c>
      <c r="L15" s="7" t="b">
        <f t="shared" si="1"/>
        <v>0</v>
      </c>
      <c r="M15" s="7" t="b">
        <f t="shared" si="1"/>
        <v>0</v>
      </c>
      <c r="P15" s="7" t="b">
        <f t="shared" si="4"/>
        <v>0</v>
      </c>
      <c r="Q15" s="7" t="b">
        <f t="shared" si="2"/>
        <v>0</v>
      </c>
      <c r="R15" s="7" t="b">
        <f t="shared" si="2"/>
        <v>0</v>
      </c>
      <c r="S15" s="7" t="b">
        <f t="shared" si="2"/>
        <v>0</v>
      </c>
      <c r="T15" s="7" t="b">
        <f t="shared" si="2"/>
        <v>0</v>
      </c>
    </row>
    <row r="16" spans="1:21">
      <c r="B16" s="7" t="b">
        <f t="shared" si="3"/>
        <v>0</v>
      </c>
      <c r="C16" s="7" t="b">
        <f t="shared" si="3"/>
        <v>0</v>
      </c>
      <c r="D16" s="7" t="b">
        <f t="shared" si="3"/>
        <v>0</v>
      </c>
      <c r="E16" s="7" t="b">
        <f t="shared" si="3"/>
        <v>0</v>
      </c>
      <c r="F16" s="7" t="b">
        <f t="shared" si="3"/>
        <v>0</v>
      </c>
      <c r="I16" s="7" t="b">
        <f t="shared" si="0"/>
        <v>0</v>
      </c>
      <c r="J16" s="7" t="b">
        <f t="shared" si="1"/>
        <v>0</v>
      </c>
      <c r="K16" s="7" t="b">
        <f t="shared" si="1"/>
        <v>0</v>
      </c>
      <c r="L16" s="7" t="b">
        <f t="shared" si="1"/>
        <v>0</v>
      </c>
      <c r="M16" s="7" t="b">
        <f t="shared" si="1"/>
        <v>0</v>
      </c>
      <c r="P16" s="7" t="b">
        <f t="shared" si="4"/>
        <v>0</v>
      </c>
      <c r="Q16" s="7" t="b">
        <f t="shared" si="2"/>
        <v>0</v>
      </c>
      <c r="R16" s="7" t="b">
        <f t="shared" si="2"/>
        <v>0</v>
      </c>
      <c r="S16" s="7" t="b">
        <f t="shared" si="2"/>
        <v>0</v>
      </c>
      <c r="T16" s="7" t="b">
        <f t="shared" si="2"/>
        <v>0</v>
      </c>
    </row>
    <row r="17" spans="1:22">
      <c r="B17" s="7" t="b">
        <f t="shared" si="3"/>
        <v>0</v>
      </c>
      <c r="C17" s="7" t="b">
        <f t="shared" si="3"/>
        <v>0</v>
      </c>
      <c r="D17" s="7" t="b">
        <f t="shared" si="3"/>
        <v>0</v>
      </c>
      <c r="E17" s="7" t="b">
        <f t="shared" si="3"/>
        <v>0</v>
      </c>
      <c r="F17" s="7" t="b">
        <f t="shared" si="3"/>
        <v>0</v>
      </c>
      <c r="I17" s="7" t="b">
        <f t="shared" si="0"/>
        <v>0</v>
      </c>
      <c r="J17" s="7" t="b">
        <f t="shared" si="1"/>
        <v>0</v>
      </c>
      <c r="K17" s="7" t="b">
        <f t="shared" si="1"/>
        <v>0</v>
      </c>
      <c r="L17" s="7" t="b">
        <f t="shared" si="1"/>
        <v>0</v>
      </c>
      <c r="M17" s="7" t="b">
        <f t="shared" si="1"/>
        <v>0</v>
      </c>
      <c r="P17" s="7" t="b">
        <f t="shared" si="4"/>
        <v>0</v>
      </c>
      <c r="Q17" s="7" t="b">
        <f t="shared" si="2"/>
        <v>0</v>
      </c>
      <c r="R17" s="7" t="b">
        <f t="shared" si="2"/>
        <v>0</v>
      </c>
      <c r="S17" s="7" t="b">
        <f t="shared" si="2"/>
        <v>0</v>
      </c>
      <c r="T17" s="7" t="b">
        <f t="shared" si="2"/>
        <v>0</v>
      </c>
    </row>
    <row r="18" spans="1:22">
      <c r="B18" s="7" t="b">
        <f t="shared" si="3"/>
        <v>0</v>
      </c>
      <c r="C18" s="7" t="b">
        <f t="shared" si="3"/>
        <v>0</v>
      </c>
      <c r="D18" s="7" t="b">
        <f t="shared" si="3"/>
        <v>0</v>
      </c>
      <c r="E18" s="7" t="b">
        <f t="shared" si="3"/>
        <v>0</v>
      </c>
      <c r="F18" s="7" t="b">
        <f t="shared" si="3"/>
        <v>0</v>
      </c>
      <c r="I18" s="7" t="b">
        <f t="shared" si="0"/>
        <v>0</v>
      </c>
      <c r="J18" s="7" t="b">
        <f t="shared" si="1"/>
        <v>0</v>
      </c>
      <c r="K18" s="7" t="b">
        <f t="shared" si="1"/>
        <v>0</v>
      </c>
      <c r="L18" s="7" t="b">
        <f t="shared" si="1"/>
        <v>0</v>
      </c>
      <c r="M18" s="7" t="b">
        <f t="shared" si="1"/>
        <v>0</v>
      </c>
      <c r="P18" s="7" t="b">
        <f t="shared" si="4"/>
        <v>0</v>
      </c>
      <c r="Q18" s="7" t="b">
        <f t="shared" si="2"/>
        <v>0</v>
      </c>
      <c r="R18" s="7" t="b">
        <f t="shared" si="2"/>
        <v>0</v>
      </c>
      <c r="S18" s="7" t="b">
        <f t="shared" si="2"/>
        <v>0</v>
      </c>
      <c r="T18" s="7" t="b">
        <f t="shared" si="2"/>
        <v>0</v>
      </c>
    </row>
    <row r="20" spans="1:22">
      <c r="A20">
        <v>4</v>
      </c>
      <c r="H20">
        <v>5</v>
      </c>
      <c r="O20" s="10" t="s">
        <v>42</v>
      </c>
    </row>
    <row r="21" spans="1:22">
      <c r="B21" s="7" t="b">
        <f>IF(COUNTIF($L$3:$L$9,MID(B3,$A$20,1))&gt;0,TRUE,FALSE)</f>
        <v>0</v>
      </c>
      <c r="C21" s="7" t="b">
        <f>IF(COUNTIF($L$3:$L$9,MID(C3,$A$20,1))&gt;0,TRUE,FALSE)</f>
        <v>0</v>
      </c>
      <c r="D21" s="7" t="b">
        <f>IF(COUNTIF($L$3:$L$9,MID(D3,$A$20,1))&gt;0,TRUE,FALSE)</f>
        <v>0</v>
      </c>
      <c r="E21" s="7" t="b">
        <f>IF(COUNTIF($L$3:$L$9,MID(E3,$A$20,1))&gt;0,TRUE,FALSE)</f>
        <v>0</v>
      </c>
      <c r="F21" s="7" t="b">
        <f>IF(COUNTIF($L$3:$L$9,MID(F3,$A$20,1))&gt;0,TRUE,FALSE)</f>
        <v>0</v>
      </c>
      <c r="I21" s="7" t="b">
        <f>IF(COUNTIF($M$3:$M$9,MID(B3,$H$20,1))&gt;0,TRUE,FALSE)</f>
        <v>0</v>
      </c>
      <c r="J21" s="7" t="b">
        <f t="shared" ref="J21:M27" si="5">IF(COUNTIF($M$3:$M$9,MID(C3,$H$20,1))&gt;0,TRUE,FALSE)</f>
        <v>0</v>
      </c>
      <c r="K21" s="7" t="b">
        <f t="shared" si="5"/>
        <v>0</v>
      </c>
      <c r="L21" s="7" t="b">
        <f t="shared" si="5"/>
        <v>0</v>
      </c>
      <c r="M21" s="7" t="b">
        <f t="shared" si="5"/>
        <v>0</v>
      </c>
      <c r="P21" s="16" t="b">
        <v>1</v>
      </c>
      <c r="Q21" s="16" t="b">
        <v>1</v>
      </c>
      <c r="R21" s="16" t="b">
        <v>1</v>
      </c>
      <c r="S21" s="16" t="b">
        <v>1</v>
      </c>
      <c r="T21" s="16" t="b">
        <v>1</v>
      </c>
    </row>
    <row r="22" spans="1:22">
      <c r="B22" s="7" t="b">
        <f t="shared" ref="B22:F27" si="6">IF(COUNTIF($L$3:$L$9,MID(B4,$A$20,1))&gt;0,TRUE,FALSE)</f>
        <v>0</v>
      </c>
      <c r="C22" s="7" t="b">
        <f t="shared" si="6"/>
        <v>0</v>
      </c>
      <c r="D22" s="7" t="b">
        <f t="shared" si="6"/>
        <v>0</v>
      </c>
      <c r="E22" s="7" t="b">
        <f t="shared" si="6"/>
        <v>0</v>
      </c>
      <c r="F22" s="7" t="b">
        <f t="shared" si="6"/>
        <v>0</v>
      </c>
      <c r="I22" s="7" t="b">
        <f t="shared" ref="I22:I27" si="7">IF(COUNTIF($M$3:$M$9,MID(B4,$H$20,1))&gt;0,TRUE,FALSE)</f>
        <v>0</v>
      </c>
      <c r="J22" s="7" t="b">
        <f t="shared" si="5"/>
        <v>0</v>
      </c>
      <c r="K22" s="7" t="b">
        <f t="shared" si="5"/>
        <v>0</v>
      </c>
      <c r="L22" s="7" t="b">
        <f t="shared" si="5"/>
        <v>0</v>
      </c>
      <c r="M22" s="7" t="b">
        <f t="shared" si="5"/>
        <v>0</v>
      </c>
      <c r="P22" s="16" t="b">
        <v>1</v>
      </c>
      <c r="Q22" s="16" t="b">
        <v>1</v>
      </c>
      <c r="R22" s="16" t="b">
        <v>1</v>
      </c>
      <c r="S22" s="16" t="b">
        <v>1</v>
      </c>
      <c r="T22" s="16" t="b">
        <v>1</v>
      </c>
    </row>
    <row r="23" spans="1:22">
      <c r="B23" s="7" t="b">
        <f t="shared" si="6"/>
        <v>0</v>
      </c>
      <c r="C23" s="7" t="b">
        <f t="shared" si="6"/>
        <v>0</v>
      </c>
      <c r="D23" s="7" t="b">
        <f t="shared" si="6"/>
        <v>0</v>
      </c>
      <c r="E23" s="7" t="b">
        <f t="shared" si="6"/>
        <v>0</v>
      </c>
      <c r="F23" s="7" t="b">
        <f t="shared" si="6"/>
        <v>0</v>
      </c>
      <c r="I23" s="7" t="b">
        <f t="shared" si="7"/>
        <v>0</v>
      </c>
      <c r="J23" s="7" t="b">
        <f t="shared" si="5"/>
        <v>0</v>
      </c>
      <c r="K23" s="7" t="b">
        <f t="shared" si="5"/>
        <v>0</v>
      </c>
      <c r="L23" s="7" t="b">
        <f t="shared" si="5"/>
        <v>0</v>
      </c>
      <c r="M23" s="7" t="b">
        <f t="shared" si="5"/>
        <v>0</v>
      </c>
      <c r="P23" s="16" t="b">
        <v>1</v>
      </c>
      <c r="Q23" s="16" t="b">
        <v>1</v>
      </c>
      <c r="R23" s="16" t="b">
        <v>1</v>
      </c>
      <c r="S23" s="16" t="b">
        <v>1</v>
      </c>
      <c r="T23" s="16" t="b">
        <v>1</v>
      </c>
    </row>
    <row r="24" spans="1:22">
      <c r="B24" s="7" t="b">
        <f t="shared" si="6"/>
        <v>0</v>
      </c>
      <c r="C24" s="7" t="b">
        <f t="shared" si="6"/>
        <v>0</v>
      </c>
      <c r="D24" s="7" t="b">
        <f t="shared" si="6"/>
        <v>0</v>
      </c>
      <c r="E24" s="7" t="b">
        <f t="shared" si="6"/>
        <v>0</v>
      </c>
      <c r="F24" s="7" t="b">
        <f t="shared" si="6"/>
        <v>0</v>
      </c>
      <c r="I24" s="7" t="b">
        <f t="shared" si="7"/>
        <v>0</v>
      </c>
      <c r="J24" s="7" t="b">
        <f t="shared" si="5"/>
        <v>0</v>
      </c>
      <c r="K24" s="7" t="b">
        <f t="shared" si="5"/>
        <v>0</v>
      </c>
      <c r="L24" s="7" t="b">
        <f t="shared" si="5"/>
        <v>0</v>
      </c>
      <c r="M24" s="7" t="b">
        <f t="shared" si="5"/>
        <v>0</v>
      </c>
      <c r="P24" s="16" t="b">
        <v>1</v>
      </c>
      <c r="Q24" s="16" t="b">
        <v>1</v>
      </c>
      <c r="R24" s="16" t="b">
        <v>1</v>
      </c>
      <c r="S24" s="16" t="b">
        <v>1</v>
      </c>
      <c r="T24" s="16" t="b">
        <v>1</v>
      </c>
    </row>
    <row r="25" spans="1:22">
      <c r="B25" s="7" t="b">
        <f t="shared" si="6"/>
        <v>0</v>
      </c>
      <c r="C25" s="7" t="b">
        <f t="shared" si="6"/>
        <v>0</v>
      </c>
      <c r="D25" s="7" t="b">
        <f t="shared" si="6"/>
        <v>0</v>
      </c>
      <c r="E25" s="7" t="b">
        <f t="shared" si="6"/>
        <v>0</v>
      </c>
      <c r="F25" s="7" t="b">
        <f t="shared" si="6"/>
        <v>0</v>
      </c>
      <c r="I25" s="7" t="b">
        <f t="shared" si="7"/>
        <v>0</v>
      </c>
      <c r="J25" s="7" t="b">
        <f t="shared" si="5"/>
        <v>0</v>
      </c>
      <c r="K25" s="7" t="b">
        <f t="shared" si="5"/>
        <v>0</v>
      </c>
      <c r="L25" s="7" t="b">
        <f t="shared" si="5"/>
        <v>0</v>
      </c>
      <c r="M25" s="7" t="b">
        <f t="shared" si="5"/>
        <v>0</v>
      </c>
      <c r="P25" s="16" t="b">
        <v>1</v>
      </c>
      <c r="Q25" s="16" t="b">
        <v>1</v>
      </c>
      <c r="R25" s="16" t="b">
        <v>1</v>
      </c>
      <c r="S25" s="16" t="b">
        <v>1</v>
      </c>
      <c r="T25" s="16" t="b">
        <v>1</v>
      </c>
    </row>
    <row r="26" spans="1:22">
      <c r="B26" s="7" t="b">
        <f t="shared" si="6"/>
        <v>0</v>
      </c>
      <c r="C26" s="7" t="b">
        <f t="shared" si="6"/>
        <v>0</v>
      </c>
      <c r="D26" s="7" t="b">
        <f t="shared" si="6"/>
        <v>0</v>
      </c>
      <c r="E26" s="7" t="b">
        <f t="shared" si="6"/>
        <v>0</v>
      </c>
      <c r="F26" s="7" t="b">
        <f t="shared" si="6"/>
        <v>0</v>
      </c>
      <c r="I26" s="7" t="b">
        <f t="shared" si="7"/>
        <v>0</v>
      </c>
      <c r="J26" s="7" t="b">
        <f t="shared" si="5"/>
        <v>0</v>
      </c>
      <c r="K26" s="7" t="b">
        <f t="shared" si="5"/>
        <v>0</v>
      </c>
      <c r="L26" s="7" t="b">
        <f t="shared" si="5"/>
        <v>0</v>
      </c>
      <c r="M26" s="7" t="b">
        <f t="shared" si="5"/>
        <v>0</v>
      </c>
      <c r="P26" s="16" t="b">
        <v>1</v>
      </c>
      <c r="Q26" s="16" t="b">
        <v>1</v>
      </c>
      <c r="R26" s="16" t="b">
        <v>1</v>
      </c>
      <c r="S26" s="16" t="b">
        <v>1</v>
      </c>
      <c r="T26" s="16" t="b">
        <v>1</v>
      </c>
    </row>
    <row r="27" spans="1:22">
      <c r="B27" s="7" t="b">
        <f t="shared" si="6"/>
        <v>0</v>
      </c>
      <c r="C27" s="7" t="b">
        <f t="shared" si="6"/>
        <v>0</v>
      </c>
      <c r="D27" s="7" t="b">
        <f t="shared" si="6"/>
        <v>0</v>
      </c>
      <c r="E27" s="7" t="b">
        <f t="shared" si="6"/>
        <v>0</v>
      </c>
      <c r="F27" s="7" t="b">
        <f t="shared" si="6"/>
        <v>0</v>
      </c>
      <c r="I27" s="7" t="b">
        <f t="shared" si="7"/>
        <v>0</v>
      </c>
      <c r="J27" s="7" t="b">
        <f t="shared" si="5"/>
        <v>0</v>
      </c>
      <c r="K27" s="7" t="b">
        <f t="shared" si="5"/>
        <v>0</v>
      </c>
      <c r="L27" s="7" t="b">
        <f t="shared" si="5"/>
        <v>0</v>
      </c>
      <c r="M27" s="7" t="b">
        <f t="shared" si="5"/>
        <v>0</v>
      </c>
      <c r="P27" s="16" t="b">
        <v>1</v>
      </c>
      <c r="Q27" s="16" t="b">
        <v>1</v>
      </c>
      <c r="R27" s="16" t="b">
        <v>1</v>
      </c>
      <c r="S27" s="16" t="b">
        <v>1</v>
      </c>
      <c r="T27" s="16" t="b">
        <v>1</v>
      </c>
    </row>
    <row r="31" spans="1:22" ht="61.15">
      <c r="B31" s="93" t="s">
        <v>294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</row>
  </sheetData>
  <protectedRanges>
    <protectedRange sqref="I3:M9" name="範圍1"/>
  </protectedRanges>
  <mergeCells count="2">
    <mergeCell ref="I1:M1"/>
    <mergeCell ref="B31:V31"/>
  </mergeCells>
  <phoneticPr fontId="1" type="noConversion"/>
  <conditionalFormatting sqref="P21:T27">
    <cfRule type="cellIs" dxfId="21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8198" r:id="rId4" name="CheckBox5">
          <controlPr defaultSize="0" autoLine="0" r:id="rId5">
            <anchor moveWithCells="1">
              <from>
                <xdr:col>12</xdr:col>
                <xdr:colOff>285750</xdr:colOff>
                <xdr:row>9</xdr:row>
                <xdr:rowOff>38100</xdr:rowOff>
              </from>
              <to>
                <xdr:col>12</xdr:col>
                <xdr:colOff>447675</xdr:colOff>
                <xdr:row>10</xdr:row>
                <xdr:rowOff>0</xdr:rowOff>
              </to>
            </anchor>
          </controlPr>
        </control>
      </mc:Choice>
      <mc:Fallback>
        <control shapeId="8198" r:id="rId4" name="CheckBox5"/>
      </mc:Fallback>
    </mc:AlternateContent>
    <mc:AlternateContent xmlns:mc="http://schemas.openxmlformats.org/markup-compatibility/2006">
      <mc:Choice Requires="x14">
        <control shapeId="8197" r:id="rId6" name="CheckBox4">
          <controlPr defaultSize="0" autoLine="0" r:id="rId7">
            <anchor moveWithCells="1">
              <from>
                <xdr:col>11</xdr:col>
                <xdr:colOff>295275</xdr:colOff>
                <xdr:row>9</xdr:row>
                <xdr:rowOff>38100</xdr:rowOff>
              </from>
              <to>
                <xdr:col>11</xdr:col>
                <xdr:colOff>457200</xdr:colOff>
                <xdr:row>10</xdr:row>
                <xdr:rowOff>0</xdr:rowOff>
              </to>
            </anchor>
          </controlPr>
        </control>
      </mc:Choice>
      <mc:Fallback>
        <control shapeId="8197" r:id="rId6" name="CheckBox4"/>
      </mc:Fallback>
    </mc:AlternateContent>
    <mc:AlternateContent xmlns:mc="http://schemas.openxmlformats.org/markup-compatibility/2006">
      <mc:Choice Requires="x14">
        <control shapeId="8196" r:id="rId8" name="CheckBox3">
          <controlPr defaultSize="0" autoLine="0" r:id="rId9">
            <anchor moveWithCells="1">
              <from>
                <xdr:col>10</xdr:col>
                <xdr:colOff>304800</xdr:colOff>
                <xdr:row>9</xdr:row>
                <xdr:rowOff>28575</xdr:rowOff>
              </from>
              <to>
                <xdr:col>10</xdr:col>
                <xdr:colOff>466725</xdr:colOff>
                <xdr:row>9</xdr:row>
                <xdr:rowOff>190500</xdr:rowOff>
              </to>
            </anchor>
          </controlPr>
        </control>
      </mc:Choice>
      <mc:Fallback>
        <control shapeId="8196" r:id="rId8" name="CheckBox3"/>
      </mc:Fallback>
    </mc:AlternateContent>
    <mc:AlternateContent xmlns:mc="http://schemas.openxmlformats.org/markup-compatibility/2006">
      <mc:Choice Requires="x14">
        <control shapeId="8195" r:id="rId10" name="CheckBox2">
          <controlPr defaultSize="0" autoLine="0" r:id="rId11">
            <anchor moveWithCells="1">
              <from>
                <xdr:col>9</xdr:col>
                <xdr:colOff>314325</xdr:colOff>
                <xdr:row>9</xdr:row>
                <xdr:rowOff>38100</xdr:rowOff>
              </from>
              <to>
                <xdr:col>9</xdr:col>
                <xdr:colOff>476250</xdr:colOff>
                <xdr:row>10</xdr:row>
                <xdr:rowOff>0</xdr:rowOff>
              </to>
            </anchor>
          </controlPr>
        </control>
      </mc:Choice>
      <mc:Fallback>
        <control shapeId="8195" r:id="rId10" name="CheckBox2"/>
      </mc:Fallback>
    </mc:AlternateContent>
    <mc:AlternateContent xmlns:mc="http://schemas.openxmlformats.org/markup-compatibility/2006">
      <mc:Choice Requires="x14">
        <control shapeId="8194" r:id="rId12" name="CheckBox1">
          <controlPr defaultSize="0" autoLine="0" r:id="rId13">
            <anchor moveWithCells="1">
              <from>
                <xdr:col>8</xdr:col>
                <xdr:colOff>285750</xdr:colOff>
                <xdr:row>9</xdr:row>
                <xdr:rowOff>28575</xdr:rowOff>
              </from>
              <to>
                <xdr:col>8</xdr:col>
                <xdr:colOff>447675</xdr:colOff>
                <xdr:row>9</xdr:row>
                <xdr:rowOff>190500</xdr:rowOff>
              </to>
            </anchor>
          </controlPr>
        </control>
      </mc:Choice>
      <mc:Fallback>
        <control shapeId="8194" r:id="rId12" name="CheckBox1"/>
      </mc:Fallback>
    </mc:AlternateContent>
    <mc:AlternateContent xmlns:mc="http://schemas.openxmlformats.org/markup-compatibility/2006">
      <mc:Choice Requires="x14">
        <control shapeId="8193" r:id="rId14" name="Button 1">
          <controlPr defaultSize="0" print="0" autoFill="0" autoPict="0" macro="[0]!reset_V2">
            <anchor moveWithCells="1" sizeWithCells="1">
              <from>
                <xdr:col>13</xdr:col>
                <xdr:colOff>133350</xdr:colOff>
                <xdr:row>3</xdr:row>
                <xdr:rowOff>28575</xdr:rowOff>
              </from>
              <to>
                <xdr:col>14</xdr:col>
                <xdr:colOff>590550</xdr:colOff>
                <xdr:row>4</xdr:row>
                <xdr:rowOff>190500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7">
    <tabColor theme="0" tint="-0.249977111117893"/>
  </sheetPr>
  <dimension ref="A1:V32"/>
  <sheetViews>
    <sheetView zoomScale="79" workbookViewId="0">
      <selection activeCell="I3" sqref="I3"/>
    </sheetView>
  </sheetViews>
  <sheetFormatPr defaultRowHeight="15.75"/>
  <cols>
    <col min="2" max="2" width="9.5" bestFit="1" customWidth="1"/>
    <col min="9" max="9" width="9.5" bestFit="1" customWidth="1"/>
    <col min="16" max="16" width="9.5" bestFit="1" customWidth="1"/>
  </cols>
  <sheetData>
    <row r="1" spans="1:21">
      <c r="I1" s="91"/>
      <c r="J1" s="91"/>
      <c r="K1" s="91"/>
      <c r="L1" s="91"/>
      <c r="M1" s="91"/>
    </row>
    <row r="2" spans="1:21">
      <c r="I2">
        <v>1</v>
      </c>
      <c r="J2">
        <v>2</v>
      </c>
      <c r="K2">
        <v>3</v>
      </c>
      <c r="L2">
        <v>4</v>
      </c>
      <c r="M2">
        <v>5</v>
      </c>
      <c r="O2" t="s">
        <v>42</v>
      </c>
    </row>
    <row r="3" spans="1:21" ht="25.5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I3" s="18"/>
      <c r="J3" s="18"/>
      <c r="K3" s="18"/>
      <c r="L3" s="18"/>
      <c r="M3" s="18"/>
      <c r="P3" s="68" t="s">
        <v>0</v>
      </c>
      <c r="Q3" s="68" t="s">
        <v>1</v>
      </c>
      <c r="R3" s="68" t="s">
        <v>2</v>
      </c>
      <c r="S3" s="68" t="s">
        <v>3</v>
      </c>
      <c r="T3" s="69" t="s">
        <v>4</v>
      </c>
      <c r="U3" s="15"/>
    </row>
    <row r="4" spans="1:21" ht="25.5"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I4" s="18"/>
      <c r="J4" s="18"/>
      <c r="K4" s="18"/>
      <c r="L4" s="18"/>
      <c r="M4" s="18"/>
      <c r="P4" s="68" t="s">
        <v>5</v>
      </c>
      <c r="Q4" s="69" t="s">
        <v>6</v>
      </c>
      <c r="R4" s="69" t="s">
        <v>7</v>
      </c>
      <c r="S4" s="69" t="s">
        <v>8</v>
      </c>
      <c r="T4" s="69" t="s">
        <v>9</v>
      </c>
      <c r="U4" s="15"/>
    </row>
    <row r="5" spans="1:21" ht="25.5">
      <c r="B5" s="7" t="s">
        <v>10</v>
      </c>
      <c r="C5" s="7" t="s">
        <v>11</v>
      </c>
      <c r="D5" s="7" t="s">
        <v>12</v>
      </c>
      <c r="E5" s="7" t="s">
        <v>13</v>
      </c>
      <c r="F5" s="7" t="s">
        <v>14</v>
      </c>
      <c r="I5" s="18"/>
      <c r="J5" s="18"/>
      <c r="K5" s="18"/>
      <c r="L5" s="18"/>
      <c r="M5" s="18"/>
      <c r="P5" s="68" t="s">
        <v>10</v>
      </c>
      <c r="Q5" s="68" t="s">
        <v>11</v>
      </c>
      <c r="R5" s="69" t="s">
        <v>12</v>
      </c>
      <c r="S5" s="69" t="s">
        <v>13</v>
      </c>
      <c r="T5" s="68" t="s">
        <v>14</v>
      </c>
      <c r="U5" s="15"/>
    </row>
    <row r="6" spans="1:21" ht="25.5">
      <c r="B6" s="7" t="s">
        <v>15</v>
      </c>
      <c r="C6" s="7" t="s">
        <v>16</v>
      </c>
      <c r="D6" s="7" t="s">
        <v>17</v>
      </c>
      <c r="E6" s="7" t="s">
        <v>18</v>
      </c>
      <c r="F6" s="7" t="s">
        <v>19</v>
      </c>
      <c r="I6" s="18"/>
      <c r="J6" s="18"/>
      <c r="K6" s="18"/>
      <c r="L6" s="18"/>
      <c r="M6" s="18"/>
      <c r="P6" s="68" t="s">
        <v>15</v>
      </c>
      <c r="Q6" s="68" t="s">
        <v>16</v>
      </c>
      <c r="R6" s="69" t="s">
        <v>17</v>
      </c>
      <c r="S6" s="69" t="s">
        <v>18</v>
      </c>
      <c r="T6" s="69" t="s">
        <v>19</v>
      </c>
      <c r="U6" s="15"/>
    </row>
    <row r="7" spans="1:21" ht="25.5">
      <c r="B7" s="7" t="s">
        <v>20</v>
      </c>
      <c r="C7" s="7" t="s">
        <v>21</v>
      </c>
      <c r="D7" s="7" t="s">
        <v>22</v>
      </c>
      <c r="E7" s="7" t="s">
        <v>23</v>
      </c>
      <c r="F7" s="7" t="s">
        <v>24</v>
      </c>
      <c r="I7" s="18"/>
      <c r="J7" s="18"/>
      <c r="K7" s="18"/>
      <c r="L7" s="18"/>
      <c r="M7" s="18"/>
      <c r="P7" s="69" t="s">
        <v>20</v>
      </c>
      <c r="Q7" s="69" t="s">
        <v>21</v>
      </c>
      <c r="R7" s="69" t="s">
        <v>22</v>
      </c>
      <c r="S7" s="69" t="s">
        <v>23</v>
      </c>
      <c r="T7" s="69" t="s">
        <v>24</v>
      </c>
      <c r="U7" s="15"/>
    </row>
    <row r="8" spans="1:21" ht="25.5">
      <c r="B8" s="7" t="s">
        <v>25</v>
      </c>
      <c r="C8" s="7" t="s">
        <v>26</v>
      </c>
      <c r="D8" s="7" t="s">
        <v>27</v>
      </c>
      <c r="E8" s="7" t="s">
        <v>28</v>
      </c>
      <c r="F8" s="7" t="s">
        <v>29</v>
      </c>
      <c r="I8" s="18"/>
      <c r="J8" s="18"/>
      <c r="K8" s="18"/>
      <c r="L8" s="18"/>
      <c r="M8" s="18"/>
      <c r="P8" s="69" t="s">
        <v>25</v>
      </c>
      <c r="Q8" s="69" t="s">
        <v>26</v>
      </c>
      <c r="R8" s="69" t="s">
        <v>27</v>
      </c>
      <c r="S8" s="69" t="s">
        <v>28</v>
      </c>
      <c r="T8" s="68" t="s">
        <v>29</v>
      </c>
      <c r="U8" s="15"/>
    </row>
    <row r="9" spans="1:21" ht="25.5">
      <c r="B9" s="7" t="s">
        <v>30</v>
      </c>
      <c r="C9" s="7" t="s">
        <v>31</v>
      </c>
      <c r="D9" s="7" t="s">
        <v>32</v>
      </c>
      <c r="E9" s="7" t="s">
        <v>33</v>
      </c>
      <c r="F9" s="7" t="s">
        <v>34</v>
      </c>
      <c r="P9" s="68" t="s">
        <v>30</v>
      </c>
      <c r="Q9" s="68" t="s">
        <v>31</v>
      </c>
      <c r="R9" s="68" t="s">
        <v>32</v>
      </c>
      <c r="S9" s="68" t="s">
        <v>33</v>
      </c>
      <c r="T9" s="68" t="s">
        <v>34</v>
      </c>
    </row>
    <row r="10" spans="1:21">
      <c r="H10" t="s">
        <v>78</v>
      </c>
      <c r="I10" t="b">
        <f>IF(COUNTA(I$3:I$8)=6,TRUE,FALSE)</f>
        <v>0</v>
      </c>
      <c r="J10" t="b">
        <f>IF(COUNTA(J$3:J$8)=6,TRUE,FALSE)</f>
        <v>0</v>
      </c>
      <c r="K10" t="b">
        <f>IF(COUNTA(K$3:K$8)=6,TRUE,FALSE)</f>
        <v>0</v>
      </c>
      <c r="L10" t="b">
        <f>IF(COUNTA(L$3:L$8)=6,TRUE,FALSE)</f>
        <v>0</v>
      </c>
      <c r="M10" t="b">
        <f>IF(COUNTA(M$3:M$8)=6,TRUE,FALSE)</f>
        <v>0</v>
      </c>
    </row>
    <row r="11" spans="1:21">
      <c r="A11">
        <v>1</v>
      </c>
      <c r="H11">
        <v>2</v>
      </c>
      <c r="O11">
        <v>3</v>
      </c>
    </row>
    <row r="12" spans="1:21">
      <c r="B12" s="7" t="b">
        <f>IF(COUNTIF($I$3:$I$9,MID(B3,$A$11,1))&gt;0,TRUE,FALSE)</f>
        <v>0</v>
      </c>
      <c r="C12" s="7" t="b">
        <f>IF(COUNTIF($I$3:$I$9,MID(C3,$A$11,1))&gt;0,TRUE,FALSE)</f>
        <v>0</v>
      </c>
      <c r="D12" s="7" t="b">
        <f>IF(COUNTIF($I$3:$I$9,MID(D3,$A$11,1))&gt;0,TRUE,FALSE)</f>
        <v>0</v>
      </c>
      <c r="E12" s="7" t="b">
        <f>IF(COUNTIF($I$3:$I$9,MID(E3,$A$11,1))&gt;0,TRUE,FALSE)</f>
        <v>0</v>
      </c>
      <c r="F12" s="7" t="b">
        <f>IF(COUNTIF($I$3:$I$9,MID(F3,$A$11,1))&gt;0,TRUE,FALSE)</f>
        <v>0</v>
      </c>
      <c r="I12" s="7" t="b">
        <f t="shared" ref="I12:I18" si="0">IF(COUNTIF($J$3:$J$9,MID(B3,$H$11,1))&gt;0,TRUE,FALSE)</f>
        <v>0</v>
      </c>
      <c r="J12" s="7" t="b">
        <f t="shared" ref="J12:M18" si="1">IF(COUNTIF($J$3:$J$9,MID(C3,$H$11,1))&gt;0,TRUE,FALSE)</f>
        <v>0</v>
      </c>
      <c r="K12" s="7" t="b">
        <f t="shared" si="1"/>
        <v>0</v>
      </c>
      <c r="L12" s="7" t="b">
        <f t="shared" si="1"/>
        <v>0</v>
      </c>
      <c r="M12" s="7" t="b">
        <f t="shared" si="1"/>
        <v>0</v>
      </c>
      <c r="P12" s="7" t="b">
        <f>IF(COUNTIF($K$3:$K$9,MID(B3,$O$11,1))&gt;0,TRUE,FALSE)</f>
        <v>0</v>
      </c>
      <c r="Q12" s="7" t="b">
        <f t="shared" ref="Q12:T18" si="2">IF(COUNTIF($K$3:$K$9,MID(C3,$O$11,1))&gt;0,TRUE,FALSE)</f>
        <v>0</v>
      </c>
      <c r="R12" s="7" t="b">
        <f t="shared" si="2"/>
        <v>0</v>
      </c>
      <c r="S12" s="7" t="b">
        <f t="shared" si="2"/>
        <v>0</v>
      </c>
      <c r="T12" s="7" t="b">
        <f t="shared" si="2"/>
        <v>0</v>
      </c>
    </row>
    <row r="13" spans="1:21">
      <c r="B13" s="7" t="b">
        <f t="shared" ref="B13:F18" si="3">IF(COUNTIF($I$3:$I$9,MID(B4,$A$11,1))&gt;0,TRUE,FALSE)</f>
        <v>0</v>
      </c>
      <c r="C13" s="7" t="b">
        <f t="shared" si="3"/>
        <v>0</v>
      </c>
      <c r="D13" s="7" t="b">
        <f t="shared" si="3"/>
        <v>0</v>
      </c>
      <c r="E13" s="7" t="b">
        <f t="shared" si="3"/>
        <v>0</v>
      </c>
      <c r="F13" s="7" t="b">
        <f t="shared" si="3"/>
        <v>0</v>
      </c>
      <c r="I13" s="7" t="b">
        <f t="shared" si="0"/>
        <v>0</v>
      </c>
      <c r="J13" s="7" t="b">
        <f t="shared" si="1"/>
        <v>0</v>
      </c>
      <c r="K13" s="7" t="b">
        <f t="shared" si="1"/>
        <v>0</v>
      </c>
      <c r="L13" s="7" t="b">
        <f t="shared" si="1"/>
        <v>0</v>
      </c>
      <c r="M13" s="7" t="b">
        <f t="shared" si="1"/>
        <v>0</v>
      </c>
      <c r="P13" s="7" t="b">
        <f t="shared" ref="P13:P18" si="4">IF(COUNTIF($K$3:$K$9,MID(B4,$O$11,1))&gt;0,TRUE,FALSE)</f>
        <v>0</v>
      </c>
      <c r="Q13" s="7" t="b">
        <f t="shared" si="2"/>
        <v>0</v>
      </c>
      <c r="R13" s="7" t="b">
        <f t="shared" si="2"/>
        <v>0</v>
      </c>
      <c r="S13" s="7" t="b">
        <f t="shared" si="2"/>
        <v>0</v>
      </c>
      <c r="T13" s="7" t="b">
        <f t="shared" si="2"/>
        <v>0</v>
      </c>
    </row>
    <row r="14" spans="1:21">
      <c r="B14" s="7" t="b">
        <f t="shared" si="3"/>
        <v>0</v>
      </c>
      <c r="C14" s="7" t="b">
        <f t="shared" si="3"/>
        <v>0</v>
      </c>
      <c r="D14" s="7" t="b">
        <f t="shared" si="3"/>
        <v>0</v>
      </c>
      <c r="E14" s="7" t="b">
        <f t="shared" si="3"/>
        <v>0</v>
      </c>
      <c r="F14" s="7" t="b">
        <f t="shared" si="3"/>
        <v>0</v>
      </c>
      <c r="I14" s="7" t="b">
        <f t="shared" si="0"/>
        <v>0</v>
      </c>
      <c r="J14" s="7" t="b">
        <f t="shared" si="1"/>
        <v>0</v>
      </c>
      <c r="K14" s="7" t="b">
        <f t="shared" si="1"/>
        <v>0</v>
      </c>
      <c r="L14" s="7" t="b">
        <f t="shared" si="1"/>
        <v>0</v>
      </c>
      <c r="M14" s="7" t="b">
        <f t="shared" si="1"/>
        <v>0</v>
      </c>
      <c r="P14" s="7" t="b">
        <f t="shared" si="4"/>
        <v>0</v>
      </c>
      <c r="Q14" s="7" t="b">
        <f t="shared" si="2"/>
        <v>0</v>
      </c>
      <c r="R14" s="7" t="b">
        <f t="shared" si="2"/>
        <v>0</v>
      </c>
      <c r="S14" s="7" t="b">
        <f t="shared" si="2"/>
        <v>0</v>
      </c>
      <c r="T14" s="7" t="b">
        <f t="shared" si="2"/>
        <v>0</v>
      </c>
    </row>
    <row r="15" spans="1:21">
      <c r="B15" s="7" t="b">
        <f t="shared" si="3"/>
        <v>0</v>
      </c>
      <c r="C15" s="7" t="b">
        <f t="shared" si="3"/>
        <v>0</v>
      </c>
      <c r="D15" s="7" t="b">
        <f t="shared" si="3"/>
        <v>0</v>
      </c>
      <c r="E15" s="7" t="b">
        <f t="shared" si="3"/>
        <v>0</v>
      </c>
      <c r="F15" s="7" t="b">
        <f t="shared" si="3"/>
        <v>0</v>
      </c>
      <c r="I15" s="7" t="b">
        <f t="shared" si="0"/>
        <v>0</v>
      </c>
      <c r="J15" s="7" t="b">
        <f t="shared" si="1"/>
        <v>0</v>
      </c>
      <c r="K15" s="7" t="b">
        <f t="shared" si="1"/>
        <v>0</v>
      </c>
      <c r="L15" s="7" t="b">
        <f t="shared" si="1"/>
        <v>0</v>
      </c>
      <c r="M15" s="7" t="b">
        <f t="shared" si="1"/>
        <v>0</v>
      </c>
      <c r="P15" s="7" t="b">
        <f t="shared" si="4"/>
        <v>0</v>
      </c>
      <c r="Q15" s="7" t="b">
        <f t="shared" si="2"/>
        <v>0</v>
      </c>
      <c r="R15" s="7" t="b">
        <f t="shared" si="2"/>
        <v>0</v>
      </c>
      <c r="S15" s="7" t="b">
        <f t="shared" si="2"/>
        <v>0</v>
      </c>
      <c r="T15" s="7" t="b">
        <f t="shared" si="2"/>
        <v>0</v>
      </c>
    </row>
    <row r="16" spans="1:21">
      <c r="B16" s="7" t="b">
        <f t="shared" si="3"/>
        <v>0</v>
      </c>
      <c r="C16" s="7" t="b">
        <f t="shared" si="3"/>
        <v>0</v>
      </c>
      <c r="D16" s="7" t="b">
        <f t="shared" si="3"/>
        <v>0</v>
      </c>
      <c r="E16" s="7" t="b">
        <f t="shared" si="3"/>
        <v>0</v>
      </c>
      <c r="F16" s="7" t="b">
        <f t="shared" si="3"/>
        <v>0</v>
      </c>
      <c r="I16" s="7" t="b">
        <f t="shared" si="0"/>
        <v>0</v>
      </c>
      <c r="J16" s="7" t="b">
        <f t="shared" si="1"/>
        <v>0</v>
      </c>
      <c r="K16" s="7" t="b">
        <f t="shared" si="1"/>
        <v>0</v>
      </c>
      <c r="L16" s="7" t="b">
        <f t="shared" si="1"/>
        <v>0</v>
      </c>
      <c r="M16" s="7" t="b">
        <f t="shared" si="1"/>
        <v>0</v>
      </c>
      <c r="P16" s="7" t="b">
        <f t="shared" si="4"/>
        <v>0</v>
      </c>
      <c r="Q16" s="7" t="b">
        <f t="shared" si="2"/>
        <v>0</v>
      </c>
      <c r="R16" s="7" t="b">
        <f t="shared" si="2"/>
        <v>0</v>
      </c>
      <c r="S16" s="7" t="b">
        <f t="shared" si="2"/>
        <v>0</v>
      </c>
      <c r="T16" s="7" t="b">
        <f t="shared" si="2"/>
        <v>0</v>
      </c>
    </row>
    <row r="17" spans="1:22">
      <c r="B17" s="7" t="b">
        <f t="shared" si="3"/>
        <v>0</v>
      </c>
      <c r="C17" s="7" t="b">
        <f t="shared" si="3"/>
        <v>0</v>
      </c>
      <c r="D17" s="7" t="b">
        <f t="shared" si="3"/>
        <v>0</v>
      </c>
      <c r="E17" s="7" t="b">
        <f t="shared" si="3"/>
        <v>0</v>
      </c>
      <c r="F17" s="7" t="b">
        <f t="shared" si="3"/>
        <v>0</v>
      </c>
      <c r="I17" s="7" t="b">
        <f t="shared" si="0"/>
        <v>0</v>
      </c>
      <c r="J17" s="7" t="b">
        <f t="shared" si="1"/>
        <v>0</v>
      </c>
      <c r="K17" s="7" t="b">
        <f t="shared" si="1"/>
        <v>0</v>
      </c>
      <c r="L17" s="7" t="b">
        <f t="shared" si="1"/>
        <v>0</v>
      </c>
      <c r="M17" s="7" t="b">
        <f t="shared" si="1"/>
        <v>0</v>
      </c>
      <c r="P17" s="7" t="b">
        <f t="shared" si="4"/>
        <v>0</v>
      </c>
      <c r="Q17" s="7" t="b">
        <f t="shared" si="2"/>
        <v>0</v>
      </c>
      <c r="R17" s="7" t="b">
        <f t="shared" si="2"/>
        <v>0</v>
      </c>
      <c r="S17" s="7" t="b">
        <f t="shared" si="2"/>
        <v>0</v>
      </c>
      <c r="T17" s="7" t="b">
        <f t="shared" si="2"/>
        <v>0</v>
      </c>
    </row>
    <row r="18" spans="1:22">
      <c r="B18" s="7" t="b">
        <f t="shared" si="3"/>
        <v>0</v>
      </c>
      <c r="C18" s="7" t="b">
        <f t="shared" si="3"/>
        <v>0</v>
      </c>
      <c r="D18" s="7" t="b">
        <f t="shared" si="3"/>
        <v>0</v>
      </c>
      <c r="E18" s="7" t="b">
        <f t="shared" si="3"/>
        <v>0</v>
      </c>
      <c r="F18" s="7" t="b">
        <f t="shared" si="3"/>
        <v>0</v>
      </c>
      <c r="I18" s="7" t="b">
        <f t="shared" si="0"/>
        <v>0</v>
      </c>
      <c r="J18" s="7" t="b">
        <f t="shared" si="1"/>
        <v>0</v>
      </c>
      <c r="K18" s="7" t="b">
        <f t="shared" si="1"/>
        <v>0</v>
      </c>
      <c r="L18" s="7" t="b">
        <f t="shared" si="1"/>
        <v>0</v>
      </c>
      <c r="M18" s="7" t="b">
        <f t="shared" si="1"/>
        <v>0</v>
      </c>
      <c r="P18" s="7" t="b">
        <f t="shared" si="4"/>
        <v>0</v>
      </c>
      <c r="Q18" s="7" t="b">
        <f t="shared" si="2"/>
        <v>0</v>
      </c>
      <c r="R18" s="7" t="b">
        <f t="shared" si="2"/>
        <v>0</v>
      </c>
      <c r="S18" s="7" t="b">
        <f t="shared" si="2"/>
        <v>0</v>
      </c>
      <c r="T18" s="7" t="b">
        <f t="shared" si="2"/>
        <v>0</v>
      </c>
    </row>
    <row r="20" spans="1:22">
      <c r="A20">
        <v>4</v>
      </c>
      <c r="H20">
        <v>5</v>
      </c>
      <c r="O20" s="10" t="s">
        <v>42</v>
      </c>
    </row>
    <row r="21" spans="1:22">
      <c r="B21" s="7" t="b">
        <f>IF(COUNTIF($L$3:$L$9,MID(B3,$A$20,1))&gt;0,TRUE,FALSE)</f>
        <v>0</v>
      </c>
      <c r="C21" s="7" t="b">
        <f>IF(COUNTIF($L$3:$L$9,MID(C3,$A$20,1))&gt;0,TRUE,FALSE)</f>
        <v>0</v>
      </c>
      <c r="D21" s="7" t="b">
        <f>IF(COUNTIF($L$3:$L$9,MID(D3,$A$20,1))&gt;0,TRUE,FALSE)</f>
        <v>0</v>
      </c>
      <c r="E21" s="7" t="b">
        <f>IF(COUNTIF($L$3:$L$9,MID(E3,$A$20,1))&gt;0,TRUE,FALSE)</f>
        <v>0</v>
      </c>
      <c r="F21" s="7" t="b">
        <f>IF(COUNTIF($L$3:$L$9,MID(F3,$A$20,1))&gt;0,TRUE,FALSE)</f>
        <v>0</v>
      </c>
      <c r="I21" s="7" t="b">
        <f>IF(COUNTIF($M$3:$M$9,MID(B3,$H$20,1))&gt;0,TRUE,FALSE)</f>
        <v>0</v>
      </c>
      <c r="J21" s="7" t="b">
        <f t="shared" ref="J21:M27" si="5">IF(COUNTIF($M$3:$M$9,MID(C3,$H$20,1))&gt;0,TRUE,FALSE)</f>
        <v>0</v>
      </c>
      <c r="K21" s="7" t="b">
        <f t="shared" si="5"/>
        <v>0</v>
      </c>
      <c r="L21" s="7" t="b">
        <f t="shared" si="5"/>
        <v>0</v>
      </c>
      <c r="M21" s="7" t="b">
        <f t="shared" si="5"/>
        <v>0</v>
      </c>
      <c r="P21" s="14" t="b">
        <v>0</v>
      </c>
      <c r="Q21" s="14" t="b">
        <v>0</v>
      </c>
      <c r="R21" s="14" t="b">
        <v>0</v>
      </c>
      <c r="S21" s="14" t="b">
        <v>0</v>
      </c>
      <c r="T21" s="14" t="b">
        <v>0</v>
      </c>
    </row>
    <row r="22" spans="1:22">
      <c r="B22" s="7" t="b">
        <f t="shared" ref="B22:F27" si="6">IF(COUNTIF($L$3:$L$9,MID(B4,$A$20,1))&gt;0,TRUE,FALSE)</f>
        <v>0</v>
      </c>
      <c r="C22" s="7" t="b">
        <f t="shared" si="6"/>
        <v>0</v>
      </c>
      <c r="D22" s="7" t="b">
        <f t="shared" si="6"/>
        <v>0</v>
      </c>
      <c r="E22" s="7" t="b">
        <f t="shared" si="6"/>
        <v>0</v>
      </c>
      <c r="F22" s="7" t="b">
        <f t="shared" si="6"/>
        <v>0</v>
      </c>
      <c r="I22" s="7" t="b">
        <f t="shared" ref="I22:I27" si="7">IF(COUNTIF($M$3:$M$9,MID(B4,$H$20,1))&gt;0,TRUE,FALSE)</f>
        <v>0</v>
      </c>
      <c r="J22" s="7" t="b">
        <f t="shared" si="5"/>
        <v>0</v>
      </c>
      <c r="K22" s="7" t="b">
        <f t="shared" si="5"/>
        <v>0</v>
      </c>
      <c r="L22" s="7" t="b">
        <f t="shared" si="5"/>
        <v>0</v>
      </c>
      <c r="M22" s="7" t="b">
        <f t="shared" si="5"/>
        <v>0</v>
      </c>
      <c r="P22" s="14" t="b">
        <v>0</v>
      </c>
      <c r="Q22" s="14" t="b">
        <v>0</v>
      </c>
      <c r="R22" s="14" t="b">
        <v>0</v>
      </c>
      <c r="S22" s="14" t="b">
        <v>0</v>
      </c>
      <c r="T22" s="14" t="b">
        <v>0</v>
      </c>
    </row>
    <row r="23" spans="1:22">
      <c r="B23" s="7" t="b">
        <f t="shared" si="6"/>
        <v>0</v>
      </c>
      <c r="C23" s="7" t="b">
        <f t="shared" si="6"/>
        <v>0</v>
      </c>
      <c r="D23" s="7" t="b">
        <f t="shared" si="6"/>
        <v>0</v>
      </c>
      <c r="E23" s="7" t="b">
        <f t="shared" si="6"/>
        <v>0</v>
      </c>
      <c r="F23" s="7" t="b">
        <f t="shared" si="6"/>
        <v>0</v>
      </c>
      <c r="I23" s="7" t="b">
        <f t="shared" si="7"/>
        <v>0</v>
      </c>
      <c r="J23" s="7" t="b">
        <f t="shared" si="5"/>
        <v>0</v>
      </c>
      <c r="K23" s="7" t="b">
        <f t="shared" si="5"/>
        <v>0</v>
      </c>
      <c r="L23" s="7" t="b">
        <f t="shared" si="5"/>
        <v>0</v>
      </c>
      <c r="M23" s="7" t="b">
        <f t="shared" si="5"/>
        <v>0</v>
      </c>
      <c r="P23" s="14" t="b">
        <v>0</v>
      </c>
      <c r="Q23" s="14" t="b">
        <v>0</v>
      </c>
      <c r="R23" s="14" t="b">
        <v>0</v>
      </c>
      <c r="S23" s="14" t="b">
        <v>0</v>
      </c>
      <c r="T23" s="14" t="b">
        <v>0</v>
      </c>
    </row>
    <row r="24" spans="1:22">
      <c r="B24" s="7" t="b">
        <f t="shared" si="6"/>
        <v>0</v>
      </c>
      <c r="C24" s="7" t="b">
        <f t="shared" si="6"/>
        <v>0</v>
      </c>
      <c r="D24" s="7" t="b">
        <f t="shared" si="6"/>
        <v>0</v>
      </c>
      <c r="E24" s="7" t="b">
        <f t="shared" si="6"/>
        <v>0</v>
      </c>
      <c r="F24" s="7" t="b">
        <f t="shared" si="6"/>
        <v>0</v>
      </c>
      <c r="I24" s="7" t="b">
        <f t="shared" si="7"/>
        <v>0</v>
      </c>
      <c r="J24" s="7" t="b">
        <f t="shared" si="5"/>
        <v>0</v>
      </c>
      <c r="K24" s="7" t="b">
        <f>IF(COUNTIF($M$3:$M$9,MID(D6,$H$20,1))&gt;0,TRUE,FALSE)</f>
        <v>0</v>
      </c>
      <c r="L24" s="7" t="b">
        <f t="shared" si="5"/>
        <v>0</v>
      </c>
      <c r="M24" s="7" t="b">
        <f t="shared" si="5"/>
        <v>0</v>
      </c>
      <c r="P24" s="14" t="b">
        <v>0</v>
      </c>
      <c r="Q24" s="14" t="b">
        <v>0</v>
      </c>
      <c r="R24" s="14" t="b">
        <v>0</v>
      </c>
      <c r="S24" s="14" t="b">
        <v>0</v>
      </c>
      <c r="T24" s="14" t="b">
        <v>0</v>
      </c>
    </row>
    <row r="25" spans="1:22">
      <c r="B25" s="7" t="b">
        <f t="shared" si="6"/>
        <v>0</v>
      </c>
      <c r="C25" s="7" t="b">
        <f t="shared" si="6"/>
        <v>0</v>
      </c>
      <c r="D25" s="7" t="b">
        <f t="shared" si="6"/>
        <v>0</v>
      </c>
      <c r="E25" s="7" t="b">
        <f t="shared" si="6"/>
        <v>0</v>
      </c>
      <c r="F25" s="7" t="b">
        <f t="shared" si="6"/>
        <v>0</v>
      </c>
      <c r="I25" s="7" t="b">
        <f t="shared" si="7"/>
        <v>0</v>
      </c>
      <c r="J25" s="7" t="b">
        <f t="shared" si="5"/>
        <v>0</v>
      </c>
      <c r="K25" s="7" t="b">
        <f t="shared" si="5"/>
        <v>0</v>
      </c>
      <c r="L25" s="7" t="b">
        <f t="shared" si="5"/>
        <v>0</v>
      </c>
      <c r="M25" s="7" t="b">
        <f t="shared" si="5"/>
        <v>0</v>
      </c>
      <c r="P25" s="14" t="b">
        <v>0</v>
      </c>
      <c r="Q25" s="14" t="b">
        <v>0</v>
      </c>
      <c r="R25" s="14" t="b">
        <v>0</v>
      </c>
      <c r="S25" s="14" t="b">
        <v>0</v>
      </c>
      <c r="T25" s="14" t="b">
        <v>0</v>
      </c>
    </row>
    <row r="26" spans="1:22">
      <c r="B26" s="7" t="b">
        <f t="shared" si="6"/>
        <v>0</v>
      </c>
      <c r="C26" s="7" t="b">
        <f t="shared" si="6"/>
        <v>0</v>
      </c>
      <c r="D26" s="7" t="b">
        <f t="shared" si="6"/>
        <v>0</v>
      </c>
      <c r="E26" s="7" t="b">
        <f t="shared" si="6"/>
        <v>0</v>
      </c>
      <c r="F26" s="7" t="b">
        <f t="shared" si="6"/>
        <v>0</v>
      </c>
      <c r="I26" s="7" t="b">
        <f t="shared" si="7"/>
        <v>0</v>
      </c>
      <c r="J26" s="7" t="b">
        <f t="shared" si="5"/>
        <v>0</v>
      </c>
      <c r="K26" s="7" t="b">
        <f t="shared" si="5"/>
        <v>0</v>
      </c>
      <c r="L26" s="7" t="b">
        <f t="shared" si="5"/>
        <v>0</v>
      </c>
      <c r="M26" s="7" t="b">
        <f t="shared" si="5"/>
        <v>0</v>
      </c>
      <c r="P26" s="14" t="b">
        <v>0</v>
      </c>
      <c r="Q26" s="14" t="b">
        <v>0</v>
      </c>
      <c r="R26" s="14" t="b">
        <v>0</v>
      </c>
      <c r="S26" s="14" t="b">
        <v>0</v>
      </c>
      <c r="T26" s="14" t="b">
        <v>0</v>
      </c>
    </row>
    <row r="27" spans="1:22">
      <c r="B27" s="7" t="b">
        <f t="shared" si="6"/>
        <v>0</v>
      </c>
      <c r="C27" s="7" t="b">
        <f t="shared" si="6"/>
        <v>0</v>
      </c>
      <c r="D27" s="7" t="b">
        <f t="shared" si="6"/>
        <v>0</v>
      </c>
      <c r="E27" s="7" t="b">
        <f t="shared" si="6"/>
        <v>0</v>
      </c>
      <c r="F27" s="7" t="b">
        <f t="shared" si="6"/>
        <v>0</v>
      </c>
      <c r="I27" s="7" t="b">
        <f t="shared" si="7"/>
        <v>0</v>
      </c>
      <c r="J27" s="7" t="b">
        <f t="shared" si="5"/>
        <v>0</v>
      </c>
      <c r="K27" s="7" t="b">
        <f t="shared" si="5"/>
        <v>0</v>
      </c>
      <c r="L27" s="7" t="b">
        <f t="shared" si="5"/>
        <v>0</v>
      </c>
      <c r="M27" s="7" t="b">
        <f t="shared" si="5"/>
        <v>0</v>
      </c>
      <c r="P27" s="14" t="b">
        <v>0</v>
      </c>
      <c r="Q27" s="14" t="b">
        <v>0</v>
      </c>
      <c r="R27" s="14" t="b">
        <v>0</v>
      </c>
      <c r="S27" s="14" t="b">
        <v>0</v>
      </c>
      <c r="T27" s="14" t="b">
        <v>0</v>
      </c>
    </row>
    <row r="31" spans="1:22" ht="61.15">
      <c r="B31" s="93" t="s">
        <v>310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</row>
    <row r="32" spans="1:22">
      <c r="O32" t="s">
        <v>311</v>
      </c>
    </row>
  </sheetData>
  <protectedRanges>
    <protectedRange sqref="I3:M9" name="範圍1"/>
  </protectedRanges>
  <mergeCells count="2">
    <mergeCell ref="I1:M1"/>
    <mergeCell ref="B31:V31"/>
  </mergeCells>
  <conditionalFormatting sqref="P21:T27">
    <cfRule type="cellIs" dxfId="20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reset_V2">
                <anchor moveWithCells="1" sizeWithCells="1">
                  <from>
                    <xdr:col>13</xdr:col>
                    <xdr:colOff>133350</xdr:colOff>
                    <xdr:row>3</xdr:row>
                    <xdr:rowOff>28575</xdr:rowOff>
                  </from>
                  <to>
                    <xdr:col>14</xdr:col>
                    <xdr:colOff>590550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2">
    <tabColor theme="9" tint="-0.249977111117893"/>
  </sheetPr>
  <dimension ref="B1:U31"/>
  <sheetViews>
    <sheetView workbookViewId="0">
      <selection activeCell="X17" sqref="X17"/>
    </sheetView>
  </sheetViews>
  <sheetFormatPr defaultRowHeight="15.75"/>
  <cols>
    <col min="13" max="13" width="3.25" customWidth="1"/>
    <col min="14" max="14" width="3.5" bestFit="1" customWidth="1"/>
    <col min="15" max="15" width="3.5" hidden="1" customWidth="1"/>
    <col min="16" max="21" width="7.875" customWidth="1"/>
  </cols>
  <sheetData>
    <row r="1" spans="2:21">
      <c r="P1" t="s">
        <v>40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</row>
    <row r="2" spans="2:21">
      <c r="C2" t="s">
        <v>40</v>
      </c>
      <c r="D2" t="s">
        <v>157</v>
      </c>
      <c r="E2" t="s">
        <v>158</v>
      </c>
      <c r="F2" t="s">
        <v>159</v>
      </c>
      <c r="G2" t="s">
        <v>160</v>
      </c>
      <c r="H2" t="s">
        <v>161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</row>
    <row r="3" spans="2:21">
      <c r="B3" t="s">
        <v>163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M3" s="40" t="s">
        <v>101</v>
      </c>
      <c r="N3" s="41">
        <v>0</v>
      </c>
      <c r="O3" s="40" t="s">
        <v>101</v>
      </c>
      <c r="P3" s="60" t="str">
        <f>VLOOKUP(MOD(P$2*$N3,26),$N$3:$O$28,2,TRUE)</f>
        <v>A</v>
      </c>
      <c r="Q3" s="60" t="str">
        <f t="shared" ref="Q3:U18" si="0">VLOOKUP(MOD(Q$2*$N3,26),$N$3:$O$28,2,TRUE)</f>
        <v>A</v>
      </c>
      <c r="R3" s="60" t="str">
        <f t="shared" si="0"/>
        <v>A</v>
      </c>
      <c r="S3" s="60" t="str">
        <f t="shared" si="0"/>
        <v>A</v>
      </c>
      <c r="T3" s="60" t="str">
        <f t="shared" si="0"/>
        <v>A</v>
      </c>
      <c r="U3" s="60" t="str">
        <f t="shared" si="0"/>
        <v>A</v>
      </c>
    </row>
    <row r="4" spans="2:21">
      <c r="M4" s="40" t="s">
        <v>102</v>
      </c>
      <c r="N4" s="41">
        <v>1</v>
      </c>
      <c r="O4" s="40" t="s">
        <v>102</v>
      </c>
      <c r="P4" s="60" t="str">
        <f t="shared" ref="P4:U28" si="1">VLOOKUP(MOD(P$2*$N4,26),$N$3:$O$28,2,TRUE)</f>
        <v>C</v>
      </c>
      <c r="Q4" s="60" t="str">
        <f t="shared" si="0"/>
        <v>D</v>
      </c>
      <c r="R4" s="60" t="str">
        <f t="shared" si="0"/>
        <v>E</v>
      </c>
      <c r="S4" s="60" t="str">
        <f t="shared" si="0"/>
        <v>F</v>
      </c>
      <c r="T4" s="60" t="str">
        <f t="shared" si="0"/>
        <v>G</v>
      </c>
      <c r="U4" s="60" t="str">
        <f t="shared" si="0"/>
        <v>H</v>
      </c>
    </row>
    <row r="5" spans="2:21">
      <c r="M5" s="40" t="s">
        <v>103</v>
      </c>
      <c r="N5" s="41">
        <v>2</v>
      </c>
      <c r="O5" s="40" t="s">
        <v>103</v>
      </c>
      <c r="P5" s="60" t="str">
        <f t="shared" si="1"/>
        <v>E</v>
      </c>
      <c r="Q5" s="60" t="str">
        <f t="shared" si="0"/>
        <v>G</v>
      </c>
      <c r="R5" s="60" t="str">
        <f t="shared" si="0"/>
        <v>I</v>
      </c>
      <c r="S5" s="60" t="str">
        <f t="shared" si="0"/>
        <v>K</v>
      </c>
      <c r="T5" s="60" t="str">
        <f t="shared" si="0"/>
        <v>M</v>
      </c>
      <c r="U5" s="60" t="str">
        <f t="shared" si="0"/>
        <v>O</v>
      </c>
    </row>
    <row r="6" spans="2:21">
      <c r="J6" s="94">
        <v>2</v>
      </c>
      <c r="M6" s="40" t="s">
        <v>105</v>
      </c>
      <c r="N6" s="41">
        <v>3</v>
      </c>
      <c r="O6" s="40" t="s">
        <v>105</v>
      </c>
      <c r="P6" s="60" t="str">
        <f t="shared" si="1"/>
        <v>G</v>
      </c>
      <c r="Q6" s="60" t="str">
        <f t="shared" si="0"/>
        <v>J</v>
      </c>
      <c r="R6" s="60" t="str">
        <f t="shared" si="0"/>
        <v>M</v>
      </c>
      <c r="S6" s="60" t="str">
        <f t="shared" si="0"/>
        <v>P</v>
      </c>
      <c r="T6" s="60" t="str">
        <f t="shared" si="0"/>
        <v>S</v>
      </c>
      <c r="U6" s="60" t="str">
        <f t="shared" si="0"/>
        <v>V</v>
      </c>
    </row>
    <row r="7" spans="2:21">
      <c r="C7" s="95" t="s">
        <v>61</v>
      </c>
      <c r="D7" s="95"/>
      <c r="E7" s="95"/>
      <c r="F7" s="95" t="s">
        <v>96</v>
      </c>
      <c r="G7" s="95"/>
      <c r="H7" s="95"/>
      <c r="J7" s="94"/>
      <c r="M7" s="40" t="s">
        <v>104</v>
      </c>
      <c r="N7" s="41">
        <v>4</v>
      </c>
      <c r="O7" s="40" t="s">
        <v>104</v>
      </c>
      <c r="P7" s="60" t="str">
        <f t="shared" si="1"/>
        <v>I</v>
      </c>
      <c r="Q7" s="60" t="str">
        <f t="shared" si="0"/>
        <v>M</v>
      </c>
      <c r="R7" s="60" t="str">
        <f t="shared" si="0"/>
        <v>Q</v>
      </c>
      <c r="S7" s="60" t="str">
        <f t="shared" si="0"/>
        <v>U</v>
      </c>
      <c r="T7" s="60" t="str">
        <f t="shared" si="0"/>
        <v>Y</v>
      </c>
      <c r="U7" s="60" t="str">
        <f t="shared" si="0"/>
        <v>C</v>
      </c>
    </row>
    <row r="8" spans="2:21">
      <c r="C8" s="95"/>
      <c r="D8" s="95"/>
      <c r="E8" s="95"/>
      <c r="F8" s="95"/>
      <c r="G8" s="95"/>
      <c r="H8" s="95"/>
      <c r="M8" s="40" t="s">
        <v>106</v>
      </c>
      <c r="N8" s="41">
        <v>5</v>
      </c>
      <c r="O8" s="40" t="s">
        <v>106</v>
      </c>
      <c r="P8" s="60" t="str">
        <f t="shared" si="1"/>
        <v>K</v>
      </c>
      <c r="Q8" s="60" t="str">
        <f t="shared" si="0"/>
        <v>P</v>
      </c>
      <c r="R8" s="60" t="str">
        <f t="shared" si="0"/>
        <v>U</v>
      </c>
      <c r="S8" s="60" t="str">
        <f t="shared" si="0"/>
        <v>Z</v>
      </c>
      <c r="T8" s="60" t="str">
        <f t="shared" si="0"/>
        <v>E</v>
      </c>
      <c r="U8" s="60" t="str">
        <f t="shared" si="0"/>
        <v>J</v>
      </c>
    </row>
    <row r="9" spans="2:21">
      <c r="C9" s="95"/>
      <c r="D9" s="95"/>
      <c r="E9" s="95"/>
      <c r="F9" s="95"/>
      <c r="G9" s="95"/>
      <c r="H9" s="95"/>
      <c r="J9" s="29">
        <f>MOD((VLOOKUP(C7,$M$3:$N$28,2)*$J$6),26)</f>
        <v>8</v>
      </c>
      <c r="K9" s="29">
        <f>MOD((VLOOKUP(F7,$M$3:$N$28,2)*$J$6),26)</f>
        <v>16</v>
      </c>
      <c r="M9" s="40" t="s">
        <v>107</v>
      </c>
      <c r="N9" s="41">
        <v>6</v>
      </c>
      <c r="O9" s="40" t="s">
        <v>107</v>
      </c>
      <c r="P9" s="60" t="str">
        <f t="shared" si="1"/>
        <v>M</v>
      </c>
      <c r="Q9" s="60" t="str">
        <f t="shared" si="0"/>
        <v>S</v>
      </c>
      <c r="R9" s="60" t="str">
        <f t="shared" si="0"/>
        <v>Y</v>
      </c>
      <c r="S9" s="60" t="str">
        <f t="shared" si="0"/>
        <v>E</v>
      </c>
      <c r="T9" s="60" t="str">
        <f t="shared" si="0"/>
        <v>K</v>
      </c>
      <c r="U9" s="60" t="str">
        <f t="shared" si="0"/>
        <v>Q</v>
      </c>
    </row>
    <row r="10" spans="2:21">
      <c r="C10" s="95"/>
      <c r="D10" s="95"/>
      <c r="E10" s="95"/>
      <c r="F10" s="95"/>
      <c r="G10" s="95"/>
      <c r="H10" s="95"/>
      <c r="J10" s="29">
        <f>MOD((VLOOKUP(C12,$M$3:$N$28,2)*$J$6),26)</f>
        <v>18</v>
      </c>
      <c r="K10" s="29">
        <f>MOD((VLOOKUP(F12,$M$3:$N$28,2)*$J$6),26)</f>
        <v>4</v>
      </c>
      <c r="M10" s="40" t="s">
        <v>108</v>
      </c>
      <c r="N10" s="41">
        <v>7</v>
      </c>
      <c r="O10" s="40" t="s">
        <v>108</v>
      </c>
      <c r="P10" s="60" t="str">
        <f t="shared" si="1"/>
        <v>O</v>
      </c>
      <c r="Q10" s="60" t="str">
        <f t="shared" si="0"/>
        <v>V</v>
      </c>
      <c r="R10" s="60" t="str">
        <f t="shared" si="0"/>
        <v>C</v>
      </c>
      <c r="S10" s="60" t="str">
        <f t="shared" si="0"/>
        <v>J</v>
      </c>
      <c r="T10" s="60" t="str">
        <f t="shared" si="0"/>
        <v>Q</v>
      </c>
      <c r="U10" s="60" t="str">
        <f t="shared" si="0"/>
        <v>X</v>
      </c>
    </row>
    <row r="11" spans="2:21">
      <c r="C11" s="95"/>
      <c r="D11" s="95"/>
      <c r="E11" s="95"/>
      <c r="F11" s="95"/>
      <c r="G11" s="95"/>
      <c r="H11" s="95"/>
      <c r="M11" s="40" t="s">
        <v>117</v>
      </c>
      <c r="N11" s="41">
        <v>8</v>
      </c>
      <c r="O11" s="40" t="s">
        <v>117</v>
      </c>
      <c r="P11" s="60" t="str">
        <f t="shared" si="1"/>
        <v>Q</v>
      </c>
      <c r="Q11" s="60" t="str">
        <f t="shared" si="0"/>
        <v>Y</v>
      </c>
      <c r="R11" s="60" t="str">
        <f t="shared" si="0"/>
        <v>G</v>
      </c>
      <c r="S11" s="60" t="str">
        <f t="shared" si="0"/>
        <v>O</v>
      </c>
      <c r="T11" s="60" t="str">
        <f t="shared" si="0"/>
        <v>W</v>
      </c>
      <c r="U11" s="60" t="str">
        <f t="shared" si="0"/>
        <v>E</v>
      </c>
    </row>
    <row r="12" spans="2:21">
      <c r="C12" s="95" t="s">
        <v>176</v>
      </c>
      <c r="D12" s="95"/>
      <c r="E12" s="95"/>
      <c r="F12" s="95" t="s">
        <v>75</v>
      </c>
      <c r="G12" s="95"/>
      <c r="H12" s="95"/>
      <c r="M12" s="40" t="s">
        <v>119</v>
      </c>
      <c r="N12" s="41">
        <v>9</v>
      </c>
      <c r="O12" s="40" t="s">
        <v>119</v>
      </c>
      <c r="P12" s="60" t="str">
        <f t="shared" si="1"/>
        <v>S</v>
      </c>
      <c r="Q12" s="60" t="str">
        <f t="shared" si="0"/>
        <v>B</v>
      </c>
      <c r="R12" s="60" t="str">
        <f t="shared" si="0"/>
        <v>K</v>
      </c>
      <c r="S12" s="60" t="str">
        <f t="shared" si="0"/>
        <v>T</v>
      </c>
      <c r="T12" s="60" t="str">
        <f t="shared" si="0"/>
        <v>C</v>
      </c>
      <c r="U12" s="60" t="str">
        <f t="shared" si="0"/>
        <v>L</v>
      </c>
    </row>
    <row r="13" spans="2:21">
      <c r="C13" s="95"/>
      <c r="D13" s="95"/>
      <c r="E13" s="95"/>
      <c r="F13" s="95"/>
      <c r="G13" s="95"/>
      <c r="H13" s="95"/>
      <c r="J13" s="7" t="b">
        <f>IF(VLOOKUP(F12,$M$3:$N$28,2)=J9,TRUE)</f>
        <v>0</v>
      </c>
      <c r="K13" s="7" t="b">
        <f>IF(VLOOKUP(C12,$M$3:$N$28,2)=K9,TRUE)</f>
        <v>0</v>
      </c>
      <c r="M13" s="40" t="s">
        <v>121</v>
      </c>
      <c r="N13" s="41">
        <v>10</v>
      </c>
      <c r="O13" s="40" t="s">
        <v>121</v>
      </c>
      <c r="P13" s="60" t="str">
        <f t="shared" si="1"/>
        <v>U</v>
      </c>
      <c r="Q13" s="60" t="str">
        <f t="shared" si="0"/>
        <v>E</v>
      </c>
      <c r="R13" s="60" t="str">
        <f t="shared" si="0"/>
        <v>O</v>
      </c>
      <c r="S13" s="60" t="str">
        <f t="shared" si="0"/>
        <v>Y</v>
      </c>
      <c r="T13" s="60" t="str">
        <f t="shared" si="0"/>
        <v>I</v>
      </c>
      <c r="U13" s="60" t="str">
        <f t="shared" si="0"/>
        <v>S</v>
      </c>
    </row>
    <row r="14" spans="2:21">
      <c r="C14" s="95"/>
      <c r="D14" s="95"/>
      <c r="E14" s="95"/>
      <c r="F14" s="95"/>
      <c r="G14" s="95"/>
      <c r="H14" s="95"/>
      <c r="J14" s="7" t="b">
        <f>IF(VLOOKUP(F7,$M$3:$N$28,2)=J10,TRUE)</f>
        <v>0</v>
      </c>
      <c r="K14" s="7" t="b">
        <f>IF(VLOOKUP(C7,$M$3:$N$28,2)=K10,TRUE)</f>
        <v>1</v>
      </c>
      <c r="M14" s="40" t="s">
        <v>123</v>
      </c>
      <c r="N14" s="41">
        <v>11</v>
      </c>
      <c r="O14" s="40" t="s">
        <v>123</v>
      </c>
      <c r="P14" s="60" t="str">
        <f t="shared" si="1"/>
        <v>W</v>
      </c>
      <c r="Q14" s="60" t="str">
        <f t="shared" si="0"/>
        <v>H</v>
      </c>
      <c r="R14" s="60" t="str">
        <f t="shared" si="0"/>
        <v>S</v>
      </c>
      <c r="S14" s="60" t="str">
        <f t="shared" si="0"/>
        <v>D</v>
      </c>
      <c r="T14" s="60" t="str">
        <f t="shared" si="0"/>
        <v>O</v>
      </c>
      <c r="U14" s="60" t="str">
        <f t="shared" si="0"/>
        <v>Z</v>
      </c>
    </row>
    <row r="15" spans="2:21">
      <c r="C15" s="95"/>
      <c r="D15" s="95"/>
      <c r="E15" s="95"/>
      <c r="F15" s="95"/>
      <c r="G15" s="95"/>
      <c r="H15" s="95"/>
      <c r="M15" s="40" t="s">
        <v>125</v>
      </c>
      <c r="N15" s="41">
        <v>12</v>
      </c>
      <c r="O15" s="40" t="s">
        <v>125</v>
      </c>
      <c r="P15" s="60" t="str">
        <f t="shared" si="1"/>
        <v>Y</v>
      </c>
      <c r="Q15" s="60" t="str">
        <f t="shared" si="0"/>
        <v>K</v>
      </c>
      <c r="R15" s="60" t="str">
        <f t="shared" si="0"/>
        <v>W</v>
      </c>
      <c r="S15" s="60" t="str">
        <f t="shared" si="0"/>
        <v>I</v>
      </c>
      <c r="T15" s="60" t="str">
        <f t="shared" si="0"/>
        <v>U</v>
      </c>
      <c r="U15" s="60" t="str">
        <f t="shared" si="0"/>
        <v>G</v>
      </c>
    </row>
    <row r="16" spans="2:21">
      <c r="C16" s="95"/>
      <c r="D16" s="95"/>
      <c r="E16" s="95"/>
      <c r="F16" s="95"/>
      <c r="G16" s="95"/>
      <c r="H16" s="95"/>
      <c r="M16" s="40" t="s">
        <v>127</v>
      </c>
      <c r="N16" s="41">
        <v>13</v>
      </c>
      <c r="O16" s="40" t="s">
        <v>127</v>
      </c>
      <c r="P16" s="60" t="str">
        <f t="shared" si="1"/>
        <v>A</v>
      </c>
      <c r="Q16" s="60" t="str">
        <f t="shared" si="0"/>
        <v>N</v>
      </c>
      <c r="R16" s="60" t="str">
        <f t="shared" si="0"/>
        <v>A</v>
      </c>
      <c r="S16" s="60" t="str">
        <f t="shared" si="0"/>
        <v>N</v>
      </c>
      <c r="T16" s="60" t="str">
        <f t="shared" si="0"/>
        <v>A</v>
      </c>
      <c r="U16" s="60" t="str">
        <f t="shared" si="0"/>
        <v>N</v>
      </c>
    </row>
    <row r="17" spans="3:21">
      <c r="M17" s="40" t="s">
        <v>129</v>
      </c>
      <c r="N17" s="41">
        <v>14</v>
      </c>
      <c r="O17" s="40" t="s">
        <v>129</v>
      </c>
      <c r="P17" s="60" t="str">
        <f t="shared" si="1"/>
        <v>C</v>
      </c>
      <c r="Q17" s="60" t="str">
        <f t="shared" si="0"/>
        <v>Q</v>
      </c>
      <c r="R17" s="60" t="str">
        <f t="shared" si="0"/>
        <v>E</v>
      </c>
      <c r="S17" s="60" t="str">
        <f t="shared" si="0"/>
        <v>S</v>
      </c>
      <c r="T17" s="60" t="str">
        <f t="shared" si="0"/>
        <v>G</v>
      </c>
      <c r="U17" s="60" t="str">
        <f t="shared" si="0"/>
        <v>U</v>
      </c>
    </row>
    <row r="18" spans="3:21">
      <c r="M18" s="40" t="s">
        <v>131</v>
      </c>
      <c r="N18" s="41">
        <v>15</v>
      </c>
      <c r="O18" s="40" t="s">
        <v>131</v>
      </c>
      <c r="P18" s="60" t="str">
        <f t="shared" si="1"/>
        <v>E</v>
      </c>
      <c r="Q18" s="60" t="str">
        <f t="shared" si="0"/>
        <v>T</v>
      </c>
      <c r="R18" s="60" t="str">
        <f t="shared" si="0"/>
        <v>I</v>
      </c>
      <c r="S18" s="60" t="str">
        <f t="shared" si="0"/>
        <v>X</v>
      </c>
      <c r="T18" s="60" t="str">
        <f t="shared" si="0"/>
        <v>M</v>
      </c>
      <c r="U18" s="60" t="str">
        <f t="shared" si="0"/>
        <v>B</v>
      </c>
    </row>
    <row r="19" spans="3:21">
      <c r="M19" s="40" t="s">
        <v>133</v>
      </c>
      <c r="N19" s="41">
        <v>16</v>
      </c>
      <c r="O19" s="40" t="s">
        <v>133</v>
      </c>
      <c r="P19" s="60" t="str">
        <f t="shared" si="1"/>
        <v>G</v>
      </c>
      <c r="Q19" s="60" t="str">
        <f t="shared" si="1"/>
        <v>W</v>
      </c>
      <c r="R19" s="60" t="str">
        <f t="shared" si="1"/>
        <v>M</v>
      </c>
      <c r="S19" s="60" t="str">
        <f t="shared" si="1"/>
        <v>C</v>
      </c>
      <c r="T19" s="60" t="str">
        <f t="shared" si="1"/>
        <v>S</v>
      </c>
      <c r="U19" s="60" t="str">
        <f t="shared" si="1"/>
        <v>I</v>
      </c>
    </row>
    <row r="20" spans="3:21">
      <c r="M20" s="40" t="s">
        <v>135</v>
      </c>
      <c r="N20" s="41">
        <v>17</v>
      </c>
      <c r="O20" s="40" t="s">
        <v>135</v>
      </c>
      <c r="P20" s="60" t="str">
        <f t="shared" si="1"/>
        <v>I</v>
      </c>
      <c r="Q20" s="60" t="str">
        <f t="shared" si="1"/>
        <v>Z</v>
      </c>
      <c r="R20" s="60" t="str">
        <f t="shared" si="1"/>
        <v>Q</v>
      </c>
      <c r="S20" s="60" t="str">
        <f t="shared" si="1"/>
        <v>H</v>
      </c>
      <c r="T20" s="60" t="str">
        <f t="shared" si="1"/>
        <v>Y</v>
      </c>
      <c r="U20" s="60" t="str">
        <f t="shared" si="1"/>
        <v>P</v>
      </c>
    </row>
    <row r="21" spans="3:21">
      <c r="M21" s="40" t="s">
        <v>137</v>
      </c>
      <c r="N21" s="41">
        <v>18</v>
      </c>
      <c r="O21" s="40" t="s">
        <v>137</v>
      </c>
      <c r="P21" s="60" t="str">
        <f t="shared" si="1"/>
        <v>K</v>
      </c>
      <c r="Q21" s="60" t="str">
        <f t="shared" si="1"/>
        <v>C</v>
      </c>
      <c r="R21" s="60" t="str">
        <f t="shared" si="1"/>
        <v>U</v>
      </c>
      <c r="S21" s="60" t="str">
        <f t="shared" si="1"/>
        <v>M</v>
      </c>
      <c r="T21" s="60" t="str">
        <f t="shared" si="1"/>
        <v>E</v>
      </c>
      <c r="U21" s="60" t="str">
        <f t="shared" si="1"/>
        <v>W</v>
      </c>
    </row>
    <row r="22" spans="3:21">
      <c r="M22" s="40" t="s">
        <v>139</v>
      </c>
      <c r="N22" s="41">
        <v>19</v>
      </c>
      <c r="O22" s="40" t="s">
        <v>139</v>
      </c>
      <c r="P22" s="60" t="str">
        <f t="shared" si="1"/>
        <v>M</v>
      </c>
      <c r="Q22" s="60" t="str">
        <f t="shared" si="1"/>
        <v>F</v>
      </c>
      <c r="R22" s="60" t="str">
        <f t="shared" si="1"/>
        <v>Y</v>
      </c>
      <c r="S22" s="60" t="str">
        <f t="shared" si="1"/>
        <v>R</v>
      </c>
      <c r="T22" s="60" t="str">
        <f t="shared" si="1"/>
        <v>K</v>
      </c>
      <c r="U22" s="60" t="str">
        <f t="shared" si="1"/>
        <v>D</v>
      </c>
    </row>
    <row r="23" spans="3:21">
      <c r="M23" s="40" t="s">
        <v>141</v>
      </c>
      <c r="N23" s="41">
        <v>20</v>
      </c>
      <c r="O23" s="40" t="s">
        <v>141</v>
      </c>
      <c r="P23" s="60" t="str">
        <f t="shared" si="1"/>
        <v>O</v>
      </c>
      <c r="Q23" s="60" t="str">
        <f t="shared" si="1"/>
        <v>I</v>
      </c>
      <c r="R23" s="60" t="str">
        <f t="shared" si="1"/>
        <v>C</v>
      </c>
      <c r="S23" s="60" t="str">
        <f t="shared" si="1"/>
        <v>W</v>
      </c>
      <c r="T23" s="60" t="str">
        <f t="shared" si="1"/>
        <v>Q</v>
      </c>
      <c r="U23" s="60" t="str">
        <f t="shared" si="1"/>
        <v>K</v>
      </c>
    </row>
    <row r="24" spans="3:21">
      <c r="M24" s="40" t="s">
        <v>143</v>
      </c>
      <c r="N24" s="41">
        <v>21</v>
      </c>
      <c r="O24" s="40" t="s">
        <v>143</v>
      </c>
      <c r="P24" s="60" t="str">
        <f t="shared" si="1"/>
        <v>Q</v>
      </c>
      <c r="Q24" s="60" t="str">
        <f t="shared" si="1"/>
        <v>L</v>
      </c>
      <c r="R24" s="60" t="str">
        <f t="shared" si="1"/>
        <v>G</v>
      </c>
      <c r="S24" s="60" t="str">
        <f t="shared" si="1"/>
        <v>B</v>
      </c>
      <c r="T24" s="60" t="str">
        <f t="shared" si="1"/>
        <v>W</v>
      </c>
      <c r="U24" s="60" t="str">
        <f t="shared" si="1"/>
        <v>R</v>
      </c>
    </row>
    <row r="25" spans="3:21">
      <c r="M25" s="40" t="s">
        <v>145</v>
      </c>
      <c r="N25" s="41">
        <v>22</v>
      </c>
      <c r="O25" s="40" t="s">
        <v>145</v>
      </c>
      <c r="P25" s="60" t="str">
        <f t="shared" si="1"/>
        <v>S</v>
      </c>
      <c r="Q25" s="60" t="str">
        <f t="shared" si="1"/>
        <v>O</v>
      </c>
      <c r="R25" s="60" t="str">
        <f t="shared" si="1"/>
        <v>K</v>
      </c>
      <c r="S25" s="60" t="str">
        <f t="shared" si="1"/>
        <v>G</v>
      </c>
      <c r="T25" s="60" t="str">
        <f t="shared" si="1"/>
        <v>C</v>
      </c>
      <c r="U25" s="60" t="str">
        <f t="shared" si="1"/>
        <v>Y</v>
      </c>
    </row>
    <row r="26" spans="3:21">
      <c r="M26" s="40" t="s">
        <v>147</v>
      </c>
      <c r="N26" s="41">
        <v>23</v>
      </c>
      <c r="O26" s="40" t="s">
        <v>147</v>
      </c>
      <c r="P26" s="60" t="str">
        <f t="shared" si="1"/>
        <v>U</v>
      </c>
      <c r="Q26" s="60" t="str">
        <f t="shared" si="1"/>
        <v>R</v>
      </c>
      <c r="R26" s="60" t="str">
        <f t="shared" si="1"/>
        <v>O</v>
      </c>
      <c r="S26" s="60" t="str">
        <f t="shared" si="1"/>
        <v>L</v>
      </c>
      <c r="T26" s="60" t="str">
        <f t="shared" si="1"/>
        <v>I</v>
      </c>
      <c r="U26" s="60" t="str">
        <f t="shared" si="1"/>
        <v>F</v>
      </c>
    </row>
    <row r="27" spans="3:21">
      <c r="M27" s="40" t="s">
        <v>149</v>
      </c>
      <c r="N27" s="41">
        <v>24</v>
      </c>
      <c r="O27" s="40" t="s">
        <v>149</v>
      </c>
      <c r="P27" s="60" t="str">
        <f t="shared" si="1"/>
        <v>W</v>
      </c>
      <c r="Q27" s="60" t="str">
        <f t="shared" si="1"/>
        <v>U</v>
      </c>
      <c r="R27" s="60" t="str">
        <f t="shared" si="1"/>
        <v>S</v>
      </c>
      <c r="S27" s="60" t="str">
        <f t="shared" si="1"/>
        <v>Q</v>
      </c>
      <c r="T27" s="60" t="str">
        <f t="shared" si="1"/>
        <v>O</v>
      </c>
      <c r="U27" s="60" t="str">
        <f t="shared" si="1"/>
        <v>M</v>
      </c>
    </row>
    <row r="28" spans="3:21">
      <c r="M28" s="40" t="s">
        <v>151</v>
      </c>
      <c r="N28" s="41">
        <v>25</v>
      </c>
      <c r="O28" s="40" t="s">
        <v>151</v>
      </c>
      <c r="P28" s="60" t="str">
        <f t="shared" si="1"/>
        <v>Y</v>
      </c>
      <c r="Q28" s="60" t="str">
        <f t="shared" si="1"/>
        <v>X</v>
      </c>
      <c r="R28" s="60" t="str">
        <f t="shared" si="1"/>
        <v>W</v>
      </c>
      <c r="S28" s="60" t="str">
        <f t="shared" si="1"/>
        <v>V</v>
      </c>
      <c r="T28" s="60" t="str">
        <f t="shared" si="1"/>
        <v>U</v>
      </c>
      <c r="U28" s="60" t="str">
        <f t="shared" si="1"/>
        <v>T</v>
      </c>
    </row>
    <row r="31" spans="3:21" ht="46.15">
      <c r="C31" s="17" t="s">
        <v>99</v>
      </c>
    </row>
  </sheetData>
  <mergeCells count="5">
    <mergeCell ref="J6:J7"/>
    <mergeCell ref="C7:E11"/>
    <mergeCell ref="F7:H11"/>
    <mergeCell ref="C12:E16"/>
    <mergeCell ref="F12:H16"/>
  </mergeCells>
  <phoneticPr fontId="1" type="noConversion"/>
  <conditionalFormatting sqref="J13:K14">
    <cfRule type="cellIs" dxfId="19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">
    <tabColor theme="6"/>
  </sheetPr>
  <dimension ref="A2:X32"/>
  <sheetViews>
    <sheetView workbookViewId="0">
      <selection activeCell="U15" sqref="U15"/>
    </sheetView>
  </sheetViews>
  <sheetFormatPr defaultRowHeight="15.75"/>
  <cols>
    <col min="1" max="1" width="3.5" bestFit="1" customWidth="1"/>
    <col min="2" max="2" width="5.5" bestFit="1" customWidth="1"/>
    <col min="3" max="3" width="3.875" style="2" customWidth="1"/>
    <col min="4" max="4" width="4.375" style="2" customWidth="1"/>
    <col min="5" max="5" width="3.625" style="2" customWidth="1"/>
    <col min="6" max="6" width="4.125" style="2" customWidth="1"/>
    <col min="7" max="7" width="4.625" bestFit="1" customWidth="1"/>
    <col min="8" max="8" width="8.875" customWidth="1"/>
    <col min="9" max="9" width="11.125" bestFit="1" customWidth="1"/>
    <col min="10" max="10" width="9.5" bestFit="1" customWidth="1"/>
  </cols>
  <sheetData>
    <row r="2" spans="1:24">
      <c r="J2">
        <v>1</v>
      </c>
      <c r="K2">
        <v>2</v>
      </c>
      <c r="L2">
        <v>3</v>
      </c>
      <c r="M2">
        <v>4</v>
      </c>
      <c r="N2">
        <v>5</v>
      </c>
      <c r="O2">
        <v>6</v>
      </c>
    </row>
    <row r="3" spans="1:24">
      <c r="I3" t="s">
        <v>35</v>
      </c>
      <c r="J3" s="1"/>
      <c r="K3" s="1"/>
      <c r="L3" s="1"/>
      <c r="M3" s="1"/>
      <c r="N3" s="1"/>
      <c r="O3" s="1"/>
    </row>
    <row r="4" spans="1:24">
      <c r="I4" t="s">
        <v>36</v>
      </c>
      <c r="J4" s="1"/>
      <c r="K4" s="1"/>
      <c r="L4" s="1"/>
      <c r="M4" s="1"/>
      <c r="N4" s="1"/>
      <c r="O4" s="1"/>
      <c r="Q4" s="11" t="s">
        <v>71</v>
      </c>
      <c r="R4" t="s">
        <v>43</v>
      </c>
      <c r="S4" t="s">
        <v>48</v>
      </c>
      <c r="X4" s="11" t="str">
        <f>Q4</f>
        <v>C</v>
      </c>
    </row>
    <row r="5" spans="1:24">
      <c r="I5" t="s">
        <v>37</v>
      </c>
      <c r="J5" s="1"/>
      <c r="K5" s="1"/>
      <c r="L5" s="1"/>
      <c r="M5" s="1"/>
      <c r="N5" s="1"/>
      <c r="O5" s="1"/>
      <c r="Q5" s="12" t="s">
        <v>72</v>
      </c>
      <c r="R5" t="s">
        <v>47</v>
      </c>
      <c r="S5" s="5" t="s">
        <v>49</v>
      </c>
      <c r="X5" s="11" t="str">
        <f>Q5</f>
        <v>D</v>
      </c>
    </row>
    <row r="6" spans="1:24">
      <c r="I6" t="s">
        <v>38</v>
      </c>
      <c r="J6" s="1"/>
      <c r="K6" s="1"/>
      <c r="L6" s="1"/>
      <c r="M6" s="1"/>
      <c r="N6" s="1"/>
      <c r="O6" s="1"/>
      <c r="Q6" s="9"/>
      <c r="R6" s="6" t="s">
        <v>45</v>
      </c>
      <c r="S6" t="s">
        <v>51</v>
      </c>
      <c r="X6" s="11" t="str">
        <f>IF(Q6="","",Q6)</f>
        <v/>
      </c>
    </row>
    <row r="7" spans="1:24">
      <c r="J7" s="4">
        <f t="shared" ref="J7:O7" si="0">J3*1+J4*8+J5*4+J6*2</f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Q7" s="9"/>
      <c r="R7" s="6" t="s">
        <v>50</v>
      </c>
      <c r="S7" t="s">
        <v>52</v>
      </c>
      <c r="X7" s="11" t="str">
        <f>IF(Q7="","",Q7)</f>
        <v/>
      </c>
    </row>
    <row r="8" spans="1:24">
      <c r="C8" s="2" t="s">
        <v>39</v>
      </c>
      <c r="J8" s="3" t="str">
        <f t="shared" ref="J8:O8" si="1">VLOOKUP(J7,$A$10:$G$25,7,FALSE)</f>
        <v>C</v>
      </c>
      <c r="K8" s="3" t="str">
        <f t="shared" si="1"/>
        <v>C</v>
      </c>
      <c r="L8" s="3" t="str">
        <f t="shared" si="1"/>
        <v>C</v>
      </c>
      <c r="M8" s="3" t="str">
        <f t="shared" si="1"/>
        <v>C</v>
      </c>
      <c r="N8" s="3" t="str">
        <f t="shared" si="1"/>
        <v>C</v>
      </c>
      <c r="O8" s="3" t="str">
        <f t="shared" si="1"/>
        <v>C</v>
      </c>
      <c r="Q8" s="9"/>
      <c r="R8" s="6" t="s">
        <v>46</v>
      </c>
      <c r="S8" t="s">
        <v>53</v>
      </c>
      <c r="X8" s="11" t="str">
        <f>IF(Q8="","",Q8)</f>
        <v/>
      </c>
    </row>
    <row r="9" spans="1:24">
      <c r="C9" s="2" t="s">
        <v>40</v>
      </c>
      <c r="D9" s="2" t="s">
        <v>41</v>
      </c>
      <c r="E9" s="2" t="s">
        <v>38</v>
      </c>
      <c r="F9" s="2" t="s">
        <v>35</v>
      </c>
      <c r="G9" t="s">
        <v>42</v>
      </c>
      <c r="J9" s="13" t="str">
        <f t="shared" ref="J9:O9" si="2">VLOOKUP(J8,$R$4:$X$8,7,FALSE)</f>
        <v>C</v>
      </c>
      <c r="K9" s="13" t="str">
        <f t="shared" si="2"/>
        <v>C</v>
      </c>
      <c r="L9" s="13" t="str">
        <f t="shared" si="2"/>
        <v>C</v>
      </c>
      <c r="M9" s="13" t="str">
        <f t="shared" si="2"/>
        <v>C</v>
      </c>
      <c r="N9" s="13" t="str">
        <f t="shared" si="2"/>
        <v>C</v>
      </c>
      <c r="O9" s="13" t="str">
        <f t="shared" si="2"/>
        <v>C</v>
      </c>
    </row>
    <row r="10" spans="1:24">
      <c r="A10">
        <v>0</v>
      </c>
      <c r="B10" t="str">
        <f>DEC2BIN(A10)</f>
        <v>0</v>
      </c>
      <c r="C10" s="2">
        <v>0</v>
      </c>
      <c r="D10" s="2">
        <v>0</v>
      </c>
      <c r="E10" s="2">
        <v>0</v>
      </c>
      <c r="F10" s="2">
        <v>0</v>
      </c>
      <c r="G10" t="s">
        <v>43</v>
      </c>
    </row>
    <row r="11" spans="1:24">
      <c r="A11">
        <v>1</v>
      </c>
      <c r="B11" t="str">
        <f t="shared" ref="B11:B25" si="3">DEC2BIN(A11)</f>
        <v>1</v>
      </c>
      <c r="C11" s="2">
        <v>0</v>
      </c>
      <c r="D11" s="2">
        <v>0</v>
      </c>
      <c r="E11" s="2">
        <v>0</v>
      </c>
      <c r="F11" s="2">
        <v>1</v>
      </c>
      <c r="G11" t="s">
        <v>54</v>
      </c>
      <c r="P11" t="s">
        <v>153</v>
      </c>
    </row>
    <row r="12" spans="1:24">
      <c r="A12">
        <v>2</v>
      </c>
      <c r="B12" t="str">
        <f t="shared" si="3"/>
        <v>10</v>
      </c>
      <c r="C12" s="2">
        <v>0</v>
      </c>
      <c r="D12" s="2">
        <v>0</v>
      </c>
      <c r="E12" s="2">
        <v>1</v>
      </c>
      <c r="F12" s="2">
        <v>0</v>
      </c>
      <c r="G12" t="s">
        <v>43</v>
      </c>
    </row>
    <row r="13" spans="1:24">
      <c r="A13">
        <v>3</v>
      </c>
      <c r="B13" t="str">
        <f t="shared" si="3"/>
        <v>11</v>
      </c>
      <c r="C13" s="2">
        <v>0</v>
      </c>
      <c r="D13" s="2">
        <v>0</v>
      </c>
      <c r="E13" s="2">
        <v>1</v>
      </c>
      <c r="F13" s="2">
        <v>1</v>
      </c>
      <c r="G13" t="s">
        <v>46</v>
      </c>
    </row>
    <row r="14" spans="1:24">
      <c r="A14">
        <v>4</v>
      </c>
      <c r="B14" t="str">
        <f t="shared" si="3"/>
        <v>100</v>
      </c>
      <c r="C14" s="2">
        <v>0</v>
      </c>
      <c r="D14" s="2">
        <v>1</v>
      </c>
      <c r="E14" s="2">
        <v>0</v>
      </c>
      <c r="F14" s="2">
        <v>0</v>
      </c>
      <c r="G14" t="s">
        <v>45</v>
      </c>
    </row>
    <row r="15" spans="1:24">
      <c r="A15">
        <v>5</v>
      </c>
      <c r="B15" t="str">
        <f t="shared" si="3"/>
        <v>101</v>
      </c>
      <c r="C15" s="2">
        <v>0</v>
      </c>
      <c r="D15" s="2">
        <v>1</v>
      </c>
      <c r="E15" s="2">
        <v>0</v>
      </c>
      <c r="F15" s="2">
        <v>1</v>
      </c>
      <c r="G15" t="s">
        <v>50</v>
      </c>
    </row>
    <row r="16" spans="1:24">
      <c r="A16">
        <v>6</v>
      </c>
      <c r="B16" t="str">
        <f t="shared" si="3"/>
        <v>110</v>
      </c>
      <c r="C16" s="2">
        <v>0</v>
      </c>
      <c r="D16" s="2">
        <v>1</v>
      </c>
      <c r="E16" s="2">
        <v>1</v>
      </c>
      <c r="F16" s="2">
        <v>0</v>
      </c>
      <c r="G16" t="s">
        <v>47</v>
      </c>
    </row>
    <row r="17" spans="1:9">
      <c r="A17">
        <v>7</v>
      </c>
      <c r="B17" t="str">
        <f t="shared" si="3"/>
        <v>111</v>
      </c>
      <c r="C17" s="2">
        <v>0</v>
      </c>
      <c r="D17" s="2">
        <v>1</v>
      </c>
      <c r="E17" s="2">
        <v>1</v>
      </c>
      <c r="F17" s="2">
        <v>1</v>
      </c>
      <c r="G17" t="s">
        <v>50</v>
      </c>
    </row>
    <row r="18" spans="1:9">
      <c r="A18">
        <v>8</v>
      </c>
      <c r="B18" t="str">
        <f t="shared" si="3"/>
        <v>1000</v>
      </c>
      <c r="C18" s="2">
        <v>1</v>
      </c>
      <c r="D18" s="2">
        <v>0</v>
      </c>
      <c r="E18" s="2">
        <v>0</v>
      </c>
      <c r="F18" s="2">
        <v>0</v>
      </c>
      <c r="G18" t="s">
        <v>45</v>
      </c>
    </row>
    <row r="19" spans="1:9">
      <c r="A19">
        <v>9</v>
      </c>
      <c r="B19" t="str">
        <f t="shared" si="3"/>
        <v>1001</v>
      </c>
      <c r="C19" s="2">
        <v>1</v>
      </c>
      <c r="D19" s="2">
        <v>0</v>
      </c>
      <c r="E19" s="2">
        <v>0</v>
      </c>
      <c r="F19" s="2">
        <v>1</v>
      </c>
      <c r="G19" t="s">
        <v>46</v>
      </c>
    </row>
    <row r="20" spans="1:9">
      <c r="A20">
        <v>10</v>
      </c>
      <c r="B20" t="str">
        <f t="shared" si="3"/>
        <v>1010</v>
      </c>
      <c r="C20" s="2">
        <v>1</v>
      </c>
      <c r="D20" s="2">
        <v>0</v>
      </c>
      <c r="E20" s="2">
        <v>1</v>
      </c>
      <c r="F20" s="2">
        <v>0</v>
      </c>
      <c r="G20" t="s">
        <v>43</v>
      </c>
    </row>
    <row r="21" spans="1:9">
      <c r="A21">
        <v>11</v>
      </c>
      <c r="B21" t="str">
        <f t="shared" si="3"/>
        <v>1011</v>
      </c>
      <c r="C21" s="2">
        <v>1</v>
      </c>
      <c r="D21" s="2">
        <v>0</v>
      </c>
      <c r="E21" s="2">
        <v>1</v>
      </c>
      <c r="F21" s="2">
        <v>1</v>
      </c>
      <c r="G21" t="s">
        <v>69</v>
      </c>
    </row>
    <row r="22" spans="1:9">
      <c r="A22">
        <v>12</v>
      </c>
      <c r="B22" t="str">
        <f t="shared" si="3"/>
        <v>1100</v>
      </c>
      <c r="C22" s="2">
        <v>1</v>
      </c>
      <c r="D22" s="2">
        <v>1</v>
      </c>
      <c r="E22" s="2">
        <v>0</v>
      </c>
      <c r="F22" s="2">
        <v>0</v>
      </c>
      <c r="G22" t="s">
        <v>70</v>
      </c>
    </row>
    <row r="23" spans="1:9">
      <c r="A23">
        <v>13</v>
      </c>
      <c r="B23" t="str">
        <f t="shared" si="3"/>
        <v>1101</v>
      </c>
      <c r="C23" s="2">
        <v>1</v>
      </c>
      <c r="D23" s="2">
        <v>1</v>
      </c>
      <c r="E23" s="2">
        <v>0</v>
      </c>
      <c r="F23" s="2">
        <v>1</v>
      </c>
      <c r="G23" t="s">
        <v>70</v>
      </c>
    </row>
    <row r="24" spans="1:9">
      <c r="A24">
        <v>14</v>
      </c>
      <c r="B24" t="str">
        <f t="shared" si="3"/>
        <v>1110</v>
      </c>
      <c r="C24" s="2">
        <v>1</v>
      </c>
      <c r="D24" s="2">
        <v>1</v>
      </c>
      <c r="E24" s="2">
        <v>1</v>
      </c>
      <c r="F24" s="2">
        <v>0</v>
      </c>
      <c r="G24" t="s">
        <v>50</v>
      </c>
    </row>
    <row r="25" spans="1:9">
      <c r="A25">
        <v>15</v>
      </c>
      <c r="B25" t="str">
        <f t="shared" si="3"/>
        <v>1111</v>
      </c>
      <c r="C25" s="2">
        <v>1</v>
      </c>
      <c r="D25" s="2">
        <v>1</v>
      </c>
      <c r="E25" s="2">
        <v>1</v>
      </c>
      <c r="F25" s="2">
        <v>1</v>
      </c>
      <c r="G25" t="s">
        <v>47</v>
      </c>
    </row>
    <row r="27" spans="1:9" ht="46.15">
      <c r="I27" s="17" t="s">
        <v>99</v>
      </c>
    </row>
    <row r="32" spans="1:9">
      <c r="F32" s="2" t="str">
        <f>RIGHT(B32)</f>
        <v/>
      </c>
    </row>
  </sheetData>
  <protectedRanges>
    <protectedRange sqref="J3:O6" name="範圍1"/>
    <protectedRange sqref="Q6:Q8" name="範圍2"/>
  </protectedRange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5">
    <tabColor rgb="FF7030A0"/>
  </sheetPr>
  <dimension ref="B7"/>
  <sheetViews>
    <sheetView workbookViewId="0">
      <selection activeCell="B7" sqref="B7"/>
    </sheetView>
  </sheetViews>
  <sheetFormatPr defaultRowHeight="15.75"/>
  <sheetData>
    <row r="7" spans="2:2">
      <c r="B7" s="31" t="s">
        <v>173</v>
      </c>
    </row>
  </sheetData>
  <phoneticPr fontId="1" type="noConversion"/>
  <hyperlinks>
    <hyperlink ref="B7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6">
    <tabColor rgb="FF7030A0"/>
  </sheetPr>
  <dimension ref="C9"/>
  <sheetViews>
    <sheetView workbookViewId="0">
      <selection activeCell="C25" sqref="C25"/>
    </sheetView>
  </sheetViews>
  <sheetFormatPr defaultRowHeight="15.75"/>
  <sheetData>
    <row r="9" spans="3:3">
      <c r="C9" s="31" t="s">
        <v>174</v>
      </c>
    </row>
  </sheetData>
  <phoneticPr fontId="1" type="noConversion"/>
  <hyperlinks>
    <hyperlink ref="C9" r:id="rId1" xr:uid="{00000000-0004-0000-0A00-000000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8">
    <tabColor rgb="FF7030A0"/>
  </sheetPr>
  <dimension ref="B9"/>
  <sheetViews>
    <sheetView workbookViewId="0">
      <selection activeCell="B9" sqref="B9"/>
    </sheetView>
  </sheetViews>
  <sheetFormatPr defaultRowHeight="15.75"/>
  <sheetData>
    <row r="9" spans="2:2">
      <c r="B9" s="31" t="s">
        <v>154</v>
      </c>
    </row>
  </sheetData>
  <phoneticPr fontId="1" type="noConversion"/>
  <hyperlinks>
    <hyperlink ref="B9" r:id="rId1" xr:uid="{00000000-0004-0000-0B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9">
    <tabColor rgb="FF7030A0"/>
  </sheetPr>
  <dimension ref="I9"/>
  <sheetViews>
    <sheetView zoomScale="90" zoomScaleNormal="90" workbookViewId="0">
      <selection activeCell="S28" sqref="R28:S31"/>
    </sheetView>
  </sheetViews>
  <sheetFormatPr defaultRowHeight="15.75"/>
  <sheetData>
    <row r="9" spans="9:9">
      <c r="I9" s="31" t="s">
        <v>184</v>
      </c>
    </row>
  </sheetData>
  <phoneticPr fontId="1" type="noConversion"/>
  <hyperlinks>
    <hyperlink ref="I9" r:id="rId1" xr:uid="{00000000-0004-0000-0C00-000000000000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odule___21">
    <tabColor theme="8"/>
  </sheetPr>
  <dimension ref="H1:BB34"/>
  <sheetViews>
    <sheetView tabSelected="1" zoomScale="90" zoomScaleNormal="90" workbookViewId="0">
      <selection activeCell="I31" sqref="I31"/>
    </sheetView>
  </sheetViews>
  <sheetFormatPr defaultRowHeight="15.75"/>
  <cols>
    <col min="22" max="54" width="9" customWidth="1"/>
  </cols>
  <sheetData>
    <row r="1" spans="8:54" ht="16.149999999999999" thickBot="1">
      <c r="V1" s="48" t="s">
        <v>329</v>
      </c>
      <c r="W1" t="s">
        <v>324</v>
      </c>
    </row>
    <row r="2" spans="8:54" ht="16.5" customHeight="1" thickBot="1">
      <c r="H2" s="108" t="s">
        <v>321</v>
      </c>
      <c r="I2" s="109"/>
      <c r="J2" s="108" t="s">
        <v>322</v>
      </c>
      <c r="K2" s="112"/>
      <c r="L2" s="109"/>
      <c r="N2" t="s">
        <v>312</v>
      </c>
      <c r="T2" t="s">
        <v>313</v>
      </c>
      <c r="V2" s="81" t="s">
        <v>323</v>
      </c>
      <c r="W2" s="74">
        <v>0</v>
      </c>
      <c r="X2" s="74">
        <v>1</v>
      </c>
      <c r="Y2" s="74">
        <v>2</v>
      </c>
      <c r="Z2" s="74">
        <v>3</v>
      </c>
      <c r="AA2" s="74">
        <v>4</v>
      </c>
      <c r="AB2" s="74">
        <v>5</v>
      </c>
      <c r="AC2" s="74">
        <v>6</v>
      </c>
      <c r="AD2" s="74">
        <v>7</v>
      </c>
      <c r="AE2" s="74">
        <v>8</v>
      </c>
      <c r="AF2" s="74">
        <v>9</v>
      </c>
      <c r="AG2" s="74">
        <v>10</v>
      </c>
      <c r="AH2" s="74">
        <v>11</v>
      </c>
      <c r="AI2" s="74">
        <v>12</v>
      </c>
      <c r="AJ2" s="74">
        <v>13</v>
      </c>
      <c r="AK2" s="74">
        <v>14</v>
      </c>
      <c r="AL2" s="74">
        <v>15</v>
      </c>
      <c r="AM2" s="74">
        <v>16</v>
      </c>
      <c r="AN2" s="74">
        <v>17</v>
      </c>
      <c r="AO2" s="74">
        <v>18</v>
      </c>
      <c r="AP2" s="74">
        <v>19</v>
      </c>
      <c r="AQ2" s="74">
        <v>20</v>
      </c>
      <c r="AR2" s="74">
        <v>21</v>
      </c>
      <c r="AS2" s="74">
        <v>22</v>
      </c>
      <c r="AT2" s="74">
        <v>23</v>
      </c>
      <c r="AU2" s="74">
        <v>24</v>
      </c>
      <c r="AV2" s="74">
        <v>25</v>
      </c>
      <c r="AW2" s="74">
        <v>26</v>
      </c>
      <c r="AX2" s="74">
        <v>27</v>
      </c>
      <c r="AY2" s="74">
        <v>28</v>
      </c>
      <c r="AZ2" s="74">
        <v>29</v>
      </c>
      <c r="BA2" s="74">
        <v>30</v>
      </c>
      <c r="BB2" s="75">
        <v>31</v>
      </c>
    </row>
    <row r="3" spans="8:54" ht="15.75" customHeight="1">
      <c r="H3" s="110"/>
      <c r="I3" s="111"/>
      <c r="J3" s="110"/>
      <c r="K3" s="113"/>
      <c r="L3" s="111"/>
      <c r="N3">
        <v>0</v>
      </c>
      <c r="O3">
        <v>0</v>
      </c>
      <c r="P3">
        <v>1</v>
      </c>
      <c r="Q3">
        <v>0</v>
      </c>
      <c r="R3">
        <v>0</v>
      </c>
      <c r="T3">
        <f>N3*16+O3*8+P3*4+Q3*2+R3*1</f>
        <v>4</v>
      </c>
      <c r="V3" s="76">
        <v>0</v>
      </c>
      <c r="W3" s="73"/>
      <c r="X3" s="74">
        <v>5</v>
      </c>
      <c r="Y3" s="74">
        <v>4</v>
      </c>
      <c r="Z3" s="74">
        <v>54</v>
      </c>
      <c r="AA3" s="74"/>
      <c r="AB3" s="74">
        <v>53</v>
      </c>
      <c r="AC3" s="74">
        <v>43</v>
      </c>
      <c r="AD3" s="74">
        <v>543</v>
      </c>
      <c r="AE3" s="74">
        <v>2</v>
      </c>
      <c r="AF3" s="74">
        <v>52</v>
      </c>
      <c r="AG3" s="74">
        <v>42</v>
      </c>
      <c r="AH3" s="74"/>
      <c r="AI3" s="74">
        <v>23</v>
      </c>
      <c r="AJ3" s="74">
        <v>532</v>
      </c>
      <c r="AK3" s="74">
        <v>432</v>
      </c>
      <c r="AL3" s="74"/>
      <c r="AM3" s="74">
        <v>1</v>
      </c>
      <c r="AN3" s="74">
        <v>51</v>
      </c>
      <c r="AO3" s="74"/>
      <c r="AP3" s="74"/>
      <c r="AQ3" s="74">
        <v>13</v>
      </c>
      <c r="AR3" s="74">
        <v>531</v>
      </c>
      <c r="AS3" s="74">
        <v>431</v>
      </c>
      <c r="AT3" s="74"/>
      <c r="AU3" s="74"/>
      <c r="AV3" s="74">
        <v>521</v>
      </c>
      <c r="AW3" s="74"/>
      <c r="AX3" s="74">
        <v>5214</v>
      </c>
      <c r="AY3" s="74"/>
      <c r="AZ3" s="74">
        <v>5321</v>
      </c>
      <c r="BA3" s="74"/>
      <c r="BB3" s="75">
        <v>53214</v>
      </c>
    </row>
    <row r="4" spans="8:54">
      <c r="H4" s="76"/>
      <c r="I4" s="77"/>
      <c r="J4" s="76"/>
      <c r="L4" s="77"/>
      <c r="N4">
        <v>0</v>
      </c>
      <c r="O4">
        <v>1</v>
      </c>
      <c r="P4">
        <v>0</v>
      </c>
      <c r="Q4">
        <v>1</v>
      </c>
      <c r="R4">
        <v>1</v>
      </c>
      <c r="T4">
        <f t="shared" ref="T4:T12" si="0">N4*16+O4*8+P4*4+Q4*2+R4*1</f>
        <v>11</v>
      </c>
      <c r="V4" s="76">
        <v>1</v>
      </c>
      <c r="W4" s="76">
        <v>5</v>
      </c>
      <c r="Y4">
        <v>54</v>
      </c>
      <c r="Z4">
        <v>4</v>
      </c>
      <c r="AB4">
        <v>3</v>
      </c>
      <c r="AC4">
        <v>543</v>
      </c>
      <c r="AD4">
        <v>43</v>
      </c>
      <c r="AE4">
        <v>52</v>
      </c>
      <c r="AF4">
        <v>2</v>
      </c>
      <c r="AG4">
        <v>542</v>
      </c>
      <c r="AI4">
        <v>523</v>
      </c>
      <c r="AJ4">
        <v>32</v>
      </c>
      <c r="AK4">
        <v>5432</v>
      </c>
      <c r="AM4">
        <v>51</v>
      </c>
      <c r="AN4">
        <v>1</v>
      </c>
      <c r="AQ4">
        <v>513</v>
      </c>
      <c r="AR4">
        <v>31</v>
      </c>
      <c r="AS4">
        <v>5431</v>
      </c>
      <c r="AV4">
        <v>21</v>
      </c>
      <c r="AX4">
        <v>214</v>
      </c>
      <c r="AZ4">
        <v>321</v>
      </c>
      <c r="BB4" s="77">
        <v>3214</v>
      </c>
    </row>
    <row r="5" spans="8:54">
      <c r="H5" s="76"/>
      <c r="I5" s="77"/>
      <c r="J5" s="76"/>
      <c r="L5" s="77"/>
      <c r="N5">
        <v>0</v>
      </c>
      <c r="O5">
        <v>1</v>
      </c>
      <c r="P5">
        <v>1</v>
      </c>
      <c r="Q5">
        <v>1</v>
      </c>
      <c r="R5">
        <v>1</v>
      </c>
      <c r="T5">
        <f t="shared" si="0"/>
        <v>15</v>
      </c>
      <c r="V5" s="76">
        <v>2</v>
      </c>
      <c r="W5" s="76">
        <v>4</v>
      </c>
      <c r="X5">
        <v>45</v>
      </c>
      <c r="Z5">
        <v>5</v>
      </c>
      <c r="AB5">
        <v>453</v>
      </c>
      <c r="AC5">
        <v>3</v>
      </c>
      <c r="AD5">
        <v>53</v>
      </c>
      <c r="AE5">
        <v>42</v>
      </c>
      <c r="AF5">
        <v>452</v>
      </c>
      <c r="AG5">
        <v>2</v>
      </c>
      <c r="AI5">
        <v>423</v>
      </c>
      <c r="AJ5">
        <v>4532</v>
      </c>
      <c r="AK5">
        <v>32</v>
      </c>
      <c r="AM5">
        <v>41</v>
      </c>
      <c r="AN5">
        <v>451</v>
      </c>
      <c r="AQ5">
        <v>413</v>
      </c>
      <c r="AR5">
        <v>4531</v>
      </c>
      <c r="AS5">
        <v>31</v>
      </c>
      <c r="AV5">
        <v>4521</v>
      </c>
      <c r="AX5">
        <v>45214</v>
      </c>
      <c r="AZ5">
        <v>45321</v>
      </c>
      <c r="BB5" s="77">
        <v>453214</v>
      </c>
    </row>
    <row r="6" spans="8:54">
      <c r="H6" s="76"/>
      <c r="I6" s="77"/>
      <c r="J6" s="76"/>
      <c r="L6" s="77"/>
      <c r="N6">
        <v>1</v>
      </c>
      <c r="O6">
        <v>0</v>
      </c>
      <c r="P6">
        <v>0</v>
      </c>
      <c r="Q6">
        <v>1</v>
      </c>
      <c r="R6">
        <v>0</v>
      </c>
      <c r="T6">
        <f t="shared" si="0"/>
        <v>18</v>
      </c>
      <c r="V6" s="76">
        <v>3</v>
      </c>
      <c r="W6" s="76">
        <v>45</v>
      </c>
      <c r="X6">
        <v>4</v>
      </c>
      <c r="Y6">
        <v>5</v>
      </c>
      <c r="AB6">
        <v>43</v>
      </c>
      <c r="AC6">
        <v>53</v>
      </c>
      <c r="AD6">
        <v>3</v>
      </c>
      <c r="AE6">
        <v>452</v>
      </c>
      <c r="AF6">
        <v>42</v>
      </c>
      <c r="AG6">
        <v>52</v>
      </c>
      <c r="AI6">
        <v>4523</v>
      </c>
      <c r="AJ6">
        <v>432</v>
      </c>
      <c r="AK6">
        <v>532</v>
      </c>
      <c r="AM6">
        <v>451</v>
      </c>
      <c r="AN6">
        <v>41</v>
      </c>
      <c r="AQ6">
        <v>4513</v>
      </c>
      <c r="AR6">
        <v>431</v>
      </c>
      <c r="AS6">
        <v>531</v>
      </c>
      <c r="AV6">
        <v>421</v>
      </c>
      <c r="AX6">
        <v>4214</v>
      </c>
      <c r="AZ6">
        <v>4321</v>
      </c>
      <c r="BB6" s="77">
        <v>43214</v>
      </c>
    </row>
    <row r="7" spans="8:54">
      <c r="H7" s="76"/>
      <c r="I7" s="77"/>
      <c r="J7" s="76"/>
      <c r="L7" s="77"/>
      <c r="N7">
        <v>1</v>
      </c>
      <c r="O7">
        <v>0</v>
      </c>
      <c r="P7">
        <v>0</v>
      </c>
      <c r="Q7">
        <v>1</v>
      </c>
      <c r="R7">
        <v>1</v>
      </c>
      <c r="T7">
        <f t="shared" si="0"/>
        <v>19</v>
      </c>
      <c r="V7" s="76">
        <v>4</v>
      </c>
      <c r="W7" s="76"/>
      <c r="BB7" s="77"/>
    </row>
    <row r="8" spans="8:54" ht="16.149999999999999" thickBot="1">
      <c r="H8" s="78"/>
      <c r="I8" s="80"/>
      <c r="J8" s="78"/>
      <c r="K8" s="79"/>
      <c r="L8" s="80"/>
      <c r="N8">
        <v>1</v>
      </c>
      <c r="O8">
        <v>0</v>
      </c>
      <c r="P8">
        <v>1</v>
      </c>
      <c r="Q8">
        <v>1</v>
      </c>
      <c r="R8">
        <v>1</v>
      </c>
      <c r="T8">
        <f t="shared" si="0"/>
        <v>23</v>
      </c>
      <c r="V8" s="76">
        <v>5</v>
      </c>
      <c r="W8" s="76">
        <v>35</v>
      </c>
      <c r="X8">
        <v>3</v>
      </c>
      <c r="Y8">
        <v>354</v>
      </c>
      <c r="Z8">
        <v>34</v>
      </c>
      <c r="AC8">
        <v>45</v>
      </c>
      <c r="AD8">
        <v>4</v>
      </c>
      <c r="AE8">
        <v>352</v>
      </c>
      <c r="AF8">
        <v>32</v>
      </c>
      <c r="AG8">
        <v>3542</v>
      </c>
      <c r="AI8">
        <v>25</v>
      </c>
      <c r="AJ8">
        <v>2</v>
      </c>
      <c r="AK8">
        <v>452</v>
      </c>
      <c r="AM8">
        <v>351</v>
      </c>
      <c r="AN8">
        <v>31</v>
      </c>
      <c r="AQ8">
        <v>15</v>
      </c>
      <c r="AR8">
        <v>1</v>
      </c>
      <c r="AS8">
        <v>451</v>
      </c>
      <c r="AV8">
        <v>321</v>
      </c>
      <c r="AX8">
        <v>3214</v>
      </c>
      <c r="AZ8">
        <v>21</v>
      </c>
      <c r="BB8" s="77">
        <v>214</v>
      </c>
    </row>
    <row r="9" spans="8:54">
      <c r="I9" s="31" t="s">
        <v>184</v>
      </c>
      <c r="N9">
        <v>1</v>
      </c>
      <c r="O9">
        <v>1</v>
      </c>
      <c r="P9">
        <v>0</v>
      </c>
      <c r="Q9">
        <v>0</v>
      </c>
      <c r="R9">
        <v>0</v>
      </c>
      <c r="T9">
        <f t="shared" si="0"/>
        <v>24</v>
      </c>
      <c r="V9" s="76">
        <v>6</v>
      </c>
      <c r="W9" s="76">
        <v>34</v>
      </c>
      <c r="X9">
        <v>345</v>
      </c>
      <c r="Y9">
        <v>3</v>
      </c>
      <c r="Z9">
        <v>35</v>
      </c>
      <c r="AB9">
        <v>45</v>
      </c>
      <c r="AD9">
        <v>5</v>
      </c>
      <c r="AE9">
        <v>342</v>
      </c>
      <c r="AF9">
        <v>3452</v>
      </c>
      <c r="AG9">
        <v>32</v>
      </c>
      <c r="AI9">
        <v>24</v>
      </c>
      <c r="AJ9">
        <v>452</v>
      </c>
      <c r="AK9">
        <v>2</v>
      </c>
      <c r="AM9">
        <v>341</v>
      </c>
      <c r="AN9">
        <v>3451</v>
      </c>
      <c r="AQ9">
        <v>14</v>
      </c>
      <c r="AR9">
        <v>451</v>
      </c>
      <c r="AS9">
        <v>1</v>
      </c>
      <c r="AV9">
        <v>34521</v>
      </c>
      <c r="AX9">
        <v>345214</v>
      </c>
      <c r="AZ9">
        <v>4521</v>
      </c>
      <c r="BB9" s="77">
        <v>45214</v>
      </c>
    </row>
    <row r="10" spans="8:54">
      <c r="N10">
        <v>1</v>
      </c>
      <c r="O10">
        <v>1</v>
      </c>
      <c r="P10">
        <v>0</v>
      </c>
      <c r="Q10">
        <v>1</v>
      </c>
      <c r="R10">
        <v>0</v>
      </c>
      <c r="T10">
        <f t="shared" si="0"/>
        <v>26</v>
      </c>
      <c r="V10" s="76">
        <v>7</v>
      </c>
      <c r="W10" s="76">
        <v>345</v>
      </c>
      <c r="X10">
        <v>34</v>
      </c>
      <c r="Y10">
        <v>35</v>
      </c>
      <c r="Z10">
        <v>3</v>
      </c>
      <c r="AB10">
        <v>4</v>
      </c>
      <c r="AC10">
        <v>5</v>
      </c>
      <c r="AE10">
        <v>3452</v>
      </c>
      <c r="AF10">
        <v>342</v>
      </c>
      <c r="AG10">
        <v>352</v>
      </c>
      <c r="AI10">
        <v>425</v>
      </c>
      <c r="AJ10">
        <v>42</v>
      </c>
      <c r="AK10">
        <v>52</v>
      </c>
      <c r="AM10">
        <v>3451</v>
      </c>
      <c r="AN10">
        <v>341</v>
      </c>
      <c r="AQ10">
        <v>415</v>
      </c>
      <c r="AR10">
        <v>41</v>
      </c>
      <c r="AS10">
        <v>51</v>
      </c>
      <c r="AV10">
        <v>3421</v>
      </c>
      <c r="AX10">
        <v>34214</v>
      </c>
      <c r="AZ10">
        <v>421</v>
      </c>
      <c r="BB10" s="77">
        <v>4214</v>
      </c>
    </row>
    <row r="11" spans="8:54">
      <c r="N11">
        <v>1</v>
      </c>
      <c r="O11">
        <v>1</v>
      </c>
      <c r="P11">
        <v>1</v>
      </c>
      <c r="Q11">
        <v>0</v>
      </c>
      <c r="R11">
        <v>0</v>
      </c>
      <c r="T11">
        <f t="shared" si="0"/>
        <v>28</v>
      </c>
      <c r="V11" s="76">
        <v>8</v>
      </c>
      <c r="W11" s="76">
        <v>2</v>
      </c>
      <c r="X11">
        <v>25</v>
      </c>
      <c r="Y11">
        <v>24</v>
      </c>
      <c r="Z11">
        <v>254</v>
      </c>
      <c r="AB11">
        <v>253</v>
      </c>
      <c r="AC11">
        <v>243</v>
      </c>
      <c r="AD11">
        <v>2543</v>
      </c>
      <c r="AF11">
        <v>5</v>
      </c>
      <c r="AG11">
        <v>4</v>
      </c>
      <c r="AI11">
        <v>3</v>
      </c>
      <c r="AJ11">
        <v>53</v>
      </c>
      <c r="AK11">
        <v>43</v>
      </c>
      <c r="AM11">
        <v>21</v>
      </c>
      <c r="AN11">
        <v>251</v>
      </c>
      <c r="AQ11">
        <v>213</v>
      </c>
      <c r="AR11">
        <v>2531</v>
      </c>
      <c r="AS11">
        <v>2431</v>
      </c>
      <c r="AV11">
        <v>51</v>
      </c>
      <c r="AX11">
        <v>514</v>
      </c>
      <c r="AZ11">
        <v>531</v>
      </c>
      <c r="BB11" s="77">
        <v>5314</v>
      </c>
    </row>
    <row r="12" spans="8:54">
      <c r="N12">
        <v>1</v>
      </c>
      <c r="O12">
        <v>1</v>
      </c>
      <c r="P12">
        <v>1</v>
      </c>
      <c r="Q12">
        <v>1</v>
      </c>
      <c r="R12">
        <v>0</v>
      </c>
      <c r="T12">
        <f t="shared" si="0"/>
        <v>30</v>
      </c>
      <c r="V12" s="76">
        <v>9</v>
      </c>
      <c r="W12" s="76">
        <v>25</v>
      </c>
      <c r="X12">
        <v>2</v>
      </c>
      <c r="Y12">
        <v>254</v>
      </c>
      <c r="Z12">
        <v>24</v>
      </c>
      <c r="AB12">
        <v>23</v>
      </c>
      <c r="AC12">
        <v>2543</v>
      </c>
      <c r="AD12">
        <v>243</v>
      </c>
      <c r="AE12">
        <v>5</v>
      </c>
      <c r="AG12">
        <v>54</v>
      </c>
      <c r="AI12">
        <v>53</v>
      </c>
      <c r="AJ12">
        <v>3</v>
      </c>
      <c r="AK12">
        <v>543</v>
      </c>
      <c r="AM12">
        <v>251</v>
      </c>
      <c r="AN12">
        <v>21</v>
      </c>
      <c r="AQ12">
        <v>2513</v>
      </c>
      <c r="AR12">
        <v>231</v>
      </c>
      <c r="AS12">
        <v>25431</v>
      </c>
      <c r="AV12">
        <v>1</v>
      </c>
      <c r="AX12">
        <v>14</v>
      </c>
      <c r="AZ12">
        <v>31</v>
      </c>
      <c r="BB12" s="77">
        <v>314</v>
      </c>
    </row>
    <row r="13" spans="8:54" ht="16.149999999999999" thickBot="1">
      <c r="V13" s="76">
        <v>10</v>
      </c>
      <c r="W13" s="76">
        <v>24</v>
      </c>
      <c r="X13">
        <v>245</v>
      </c>
      <c r="Y13">
        <v>2</v>
      </c>
      <c r="Z13">
        <v>25</v>
      </c>
      <c r="AB13">
        <v>2453</v>
      </c>
      <c r="AC13">
        <v>23</v>
      </c>
      <c r="AD13">
        <v>253</v>
      </c>
      <c r="AE13">
        <v>4</v>
      </c>
      <c r="AF13">
        <v>45</v>
      </c>
      <c r="AI13">
        <v>43</v>
      </c>
      <c r="AJ13">
        <v>453</v>
      </c>
      <c r="AK13">
        <v>3</v>
      </c>
      <c r="AM13">
        <v>241</v>
      </c>
      <c r="AN13">
        <v>2451</v>
      </c>
      <c r="AQ13">
        <v>2413</v>
      </c>
      <c r="AR13">
        <v>24531</v>
      </c>
      <c r="AS13">
        <v>231</v>
      </c>
      <c r="AV13">
        <v>451</v>
      </c>
      <c r="AX13">
        <v>4514</v>
      </c>
      <c r="AZ13">
        <v>4531</v>
      </c>
      <c r="BB13" s="77">
        <v>45314</v>
      </c>
    </row>
    <row r="14" spans="8:54">
      <c r="H14" t="s">
        <v>314</v>
      </c>
      <c r="I14" s="96" t="s">
        <v>327</v>
      </c>
      <c r="J14" s="97"/>
      <c r="K14" s="98"/>
      <c r="M14" t="b">
        <f>IF(_xlfn.IFNA(MATCH(BIN2DEC(I14),$T$3:$T$12,0),0)=0,TRUE,FALSE)</f>
        <v>1</v>
      </c>
      <c r="V14" s="76">
        <v>11</v>
      </c>
      <c r="W14" s="76"/>
      <c r="BB14" s="77"/>
    </row>
    <row r="15" spans="8:54" ht="16.149999999999999" thickBot="1">
      <c r="H15" t="s">
        <v>317</v>
      </c>
      <c r="I15" s="99"/>
      <c r="J15" s="100"/>
      <c r="K15" s="101"/>
      <c r="V15" s="76">
        <v>12</v>
      </c>
      <c r="W15" s="76">
        <v>32</v>
      </c>
      <c r="X15">
        <v>325</v>
      </c>
      <c r="Y15">
        <v>324</v>
      </c>
      <c r="Z15">
        <v>3254</v>
      </c>
      <c r="AB15">
        <v>25</v>
      </c>
      <c r="AC15">
        <v>24</v>
      </c>
      <c r="AD15">
        <v>254</v>
      </c>
      <c r="AE15">
        <v>3</v>
      </c>
      <c r="AF15">
        <v>35</v>
      </c>
      <c r="AG15">
        <v>34</v>
      </c>
      <c r="AJ15">
        <v>5</v>
      </c>
      <c r="AK15">
        <v>4</v>
      </c>
      <c r="AM15">
        <v>321</v>
      </c>
      <c r="AN15">
        <v>3251</v>
      </c>
      <c r="AQ15">
        <v>3213</v>
      </c>
      <c r="AR15">
        <v>251</v>
      </c>
      <c r="AS15">
        <v>241</v>
      </c>
      <c r="AV15">
        <v>351</v>
      </c>
      <c r="AX15">
        <v>3514</v>
      </c>
      <c r="AZ15">
        <v>51</v>
      </c>
      <c r="BB15" s="77">
        <v>514</v>
      </c>
    </row>
    <row r="16" spans="8:54">
      <c r="H16" t="s">
        <v>315</v>
      </c>
      <c r="I16" s="102" t="s">
        <v>328</v>
      </c>
      <c r="J16" s="103"/>
      <c r="K16" s="104"/>
      <c r="M16" t="b">
        <f>IF(_xlfn.IFNA(MATCH(BIN2DEC(I16),$T$3:$T$12,0),0)=0,TRUE,FALSE)</f>
        <v>1</v>
      </c>
      <c r="V16" s="76">
        <v>13</v>
      </c>
      <c r="W16" s="76">
        <v>235</v>
      </c>
      <c r="X16">
        <v>23</v>
      </c>
      <c r="Y16">
        <v>2354</v>
      </c>
      <c r="Z16">
        <v>234</v>
      </c>
      <c r="AB16">
        <v>2</v>
      </c>
      <c r="AC16">
        <v>245</v>
      </c>
      <c r="AD16">
        <v>24</v>
      </c>
      <c r="AE16">
        <v>35</v>
      </c>
      <c r="AF16">
        <v>3</v>
      </c>
      <c r="AG16">
        <v>354</v>
      </c>
      <c r="AI16">
        <v>5</v>
      </c>
      <c r="AK16">
        <v>54</v>
      </c>
      <c r="AM16">
        <v>2351</v>
      </c>
      <c r="AN16">
        <v>231</v>
      </c>
      <c r="AQ16">
        <v>215</v>
      </c>
      <c r="AR16">
        <v>21</v>
      </c>
      <c r="AS16">
        <v>2451</v>
      </c>
      <c r="AV16">
        <v>31</v>
      </c>
      <c r="AX16">
        <v>314</v>
      </c>
      <c r="AZ16">
        <v>1</v>
      </c>
      <c r="BB16" s="77">
        <v>14</v>
      </c>
    </row>
    <row r="17" spans="8:54" ht="16.149999999999999" thickBot="1">
      <c r="H17" t="s">
        <v>316</v>
      </c>
      <c r="I17" s="105"/>
      <c r="J17" s="106"/>
      <c r="K17" s="107"/>
      <c r="V17" s="76">
        <v>14</v>
      </c>
      <c r="W17" s="76">
        <v>234</v>
      </c>
      <c r="X17">
        <v>2345</v>
      </c>
      <c r="Y17">
        <v>23</v>
      </c>
      <c r="Z17">
        <v>235</v>
      </c>
      <c r="AB17">
        <v>245</v>
      </c>
      <c r="AC17">
        <v>2</v>
      </c>
      <c r="AD17">
        <v>25</v>
      </c>
      <c r="AE17">
        <v>34</v>
      </c>
      <c r="AF17">
        <v>345</v>
      </c>
      <c r="AG17">
        <v>3</v>
      </c>
      <c r="AI17">
        <v>4</v>
      </c>
      <c r="AJ17">
        <v>45</v>
      </c>
      <c r="AM17">
        <v>2341</v>
      </c>
      <c r="AN17">
        <v>23451</v>
      </c>
      <c r="AQ17">
        <v>214</v>
      </c>
      <c r="AR17">
        <v>2451</v>
      </c>
      <c r="AS17">
        <v>21</v>
      </c>
      <c r="AV17">
        <v>3451</v>
      </c>
      <c r="AX17">
        <v>34514</v>
      </c>
      <c r="AZ17">
        <v>451</v>
      </c>
      <c r="BB17" s="77">
        <v>4514</v>
      </c>
    </row>
    <row r="18" spans="8:54" ht="16.149999999999999" thickBot="1">
      <c r="M18" t="s">
        <v>318</v>
      </c>
      <c r="N18" s="70" t="str">
        <f>MID($I$14,1,1)</f>
        <v>0</v>
      </c>
      <c r="O18" s="71" t="str">
        <f>MID($I$14,2,1)</f>
        <v>0</v>
      </c>
      <c r="P18" s="71" t="str">
        <f>MID($I$14,3,1)</f>
        <v>0</v>
      </c>
      <c r="Q18" s="71" t="str">
        <f>MID($I$14,4,1)</f>
        <v>1</v>
      </c>
      <c r="R18" s="72" t="str">
        <f>MID($I$14,5,1)</f>
        <v>0</v>
      </c>
      <c r="T18">
        <f t="shared" ref="T18:T19" si="1">N18*16+O18*8+P18*4+Q18*2+R18*1</f>
        <v>2</v>
      </c>
      <c r="V18" s="76">
        <v>15</v>
      </c>
      <c r="W18" s="76"/>
      <c r="BB18" s="77"/>
    </row>
    <row r="19" spans="8:54" ht="16.149999999999999" thickBot="1">
      <c r="M19" t="s">
        <v>319</v>
      </c>
      <c r="N19" s="70" t="str">
        <f>MID($I$16,1,1)</f>
        <v>1</v>
      </c>
      <c r="O19" s="71" t="str">
        <f>MID($I$16,2,1)</f>
        <v>1</v>
      </c>
      <c r="P19" s="71" t="str">
        <f>MID($I$16,3,1)</f>
        <v>1</v>
      </c>
      <c r="Q19" s="71" t="str">
        <f>MID($I$16,4,1)</f>
        <v>1</v>
      </c>
      <c r="R19" s="72" t="str">
        <f>MID($I$16,5,1)</f>
        <v>1</v>
      </c>
      <c r="T19">
        <f t="shared" si="1"/>
        <v>31</v>
      </c>
      <c r="V19" s="76">
        <v>16</v>
      </c>
      <c r="W19" s="76">
        <v>1</v>
      </c>
      <c r="X19">
        <v>15</v>
      </c>
      <c r="Y19">
        <v>14</v>
      </c>
      <c r="Z19">
        <v>154</v>
      </c>
      <c r="AB19">
        <v>153</v>
      </c>
      <c r="AC19">
        <v>143</v>
      </c>
      <c r="AD19">
        <v>1543</v>
      </c>
      <c r="AE19">
        <v>12</v>
      </c>
      <c r="AF19">
        <v>152</v>
      </c>
      <c r="AG19">
        <v>142</v>
      </c>
      <c r="AI19">
        <v>123</v>
      </c>
      <c r="AJ19">
        <v>1532</v>
      </c>
      <c r="AK19">
        <v>1432</v>
      </c>
      <c r="AN19">
        <v>5</v>
      </c>
      <c r="AQ19">
        <v>3</v>
      </c>
      <c r="AR19">
        <v>53</v>
      </c>
      <c r="AS19">
        <v>34</v>
      </c>
      <c r="AV19">
        <v>52</v>
      </c>
      <c r="AX19">
        <v>524</v>
      </c>
      <c r="AZ19">
        <v>532</v>
      </c>
      <c r="BB19" s="77">
        <v>5324</v>
      </c>
    </row>
    <row r="20" spans="8:54">
      <c r="V20" s="76">
        <v>17</v>
      </c>
      <c r="W20" s="76">
        <v>15</v>
      </c>
      <c r="X20">
        <v>1</v>
      </c>
      <c r="Y20">
        <v>154</v>
      </c>
      <c r="Z20">
        <v>14</v>
      </c>
      <c r="AB20">
        <v>13</v>
      </c>
      <c r="AC20">
        <v>1543</v>
      </c>
      <c r="AD20">
        <v>143</v>
      </c>
      <c r="AE20">
        <v>152</v>
      </c>
      <c r="AF20">
        <v>12</v>
      </c>
      <c r="AG20">
        <v>1542</v>
      </c>
      <c r="AI20">
        <v>1523</v>
      </c>
      <c r="AJ20">
        <v>132</v>
      </c>
      <c r="AK20">
        <v>15432</v>
      </c>
      <c r="AM20">
        <v>5</v>
      </c>
      <c r="AQ20">
        <v>53</v>
      </c>
      <c r="AR20">
        <v>3</v>
      </c>
      <c r="AS20">
        <v>534</v>
      </c>
      <c r="AV20">
        <v>2</v>
      </c>
      <c r="AX20">
        <v>24</v>
      </c>
      <c r="AZ20">
        <v>32</v>
      </c>
      <c r="BB20" s="77">
        <v>324</v>
      </c>
    </row>
    <row r="21" spans="8:54">
      <c r="T21" t="str">
        <f>ADDRESS(T18+3,T19+23,4,1)</f>
        <v>BB5</v>
      </c>
      <c r="V21" s="76">
        <v>18</v>
      </c>
      <c r="W21" s="76"/>
      <c r="BB21" s="77"/>
    </row>
    <row r="22" spans="8:54">
      <c r="V22" s="76">
        <v>19</v>
      </c>
      <c r="W22" s="76"/>
      <c r="BB22" s="77"/>
    </row>
    <row r="23" spans="8:54">
      <c r="V23" s="76">
        <v>20</v>
      </c>
      <c r="W23" s="76">
        <v>31</v>
      </c>
      <c r="X23">
        <v>315</v>
      </c>
      <c r="Y23">
        <v>314</v>
      </c>
      <c r="Z23">
        <v>3154</v>
      </c>
      <c r="AB23">
        <v>15</v>
      </c>
      <c r="AC23">
        <v>14</v>
      </c>
      <c r="AD23">
        <v>154</v>
      </c>
      <c r="AE23">
        <v>312</v>
      </c>
      <c r="AF23">
        <v>3152</v>
      </c>
      <c r="AG23">
        <v>3142</v>
      </c>
      <c r="AI23">
        <v>3123</v>
      </c>
      <c r="AJ23">
        <v>152</v>
      </c>
      <c r="AK23">
        <v>142</v>
      </c>
      <c r="AM23">
        <v>3</v>
      </c>
      <c r="AN23">
        <v>35</v>
      </c>
      <c r="AR23">
        <v>5</v>
      </c>
      <c r="AS23">
        <v>4</v>
      </c>
      <c r="AV23">
        <v>352</v>
      </c>
      <c r="AX23">
        <v>3524</v>
      </c>
      <c r="AZ23">
        <v>52</v>
      </c>
      <c r="BB23" s="77">
        <v>524</v>
      </c>
    </row>
    <row r="24" spans="8:54">
      <c r="V24" s="76">
        <v>21</v>
      </c>
      <c r="W24" s="76">
        <v>135</v>
      </c>
      <c r="X24">
        <v>13</v>
      </c>
      <c r="Y24">
        <v>1354</v>
      </c>
      <c r="Z24">
        <v>134</v>
      </c>
      <c r="AB24">
        <v>1</v>
      </c>
      <c r="AC24">
        <v>145</v>
      </c>
      <c r="AD24">
        <v>14</v>
      </c>
      <c r="AE24">
        <v>1352</v>
      </c>
      <c r="AF24">
        <v>132</v>
      </c>
      <c r="AG24">
        <v>13542</v>
      </c>
      <c r="AI24">
        <v>125</v>
      </c>
      <c r="AJ24">
        <v>12</v>
      </c>
      <c r="AK24">
        <v>1452</v>
      </c>
      <c r="AM24">
        <v>35</v>
      </c>
      <c r="AN24">
        <v>3</v>
      </c>
      <c r="AQ24">
        <v>5</v>
      </c>
      <c r="AS24">
        <v>54</v>
      </c>
      <c r="AV24">
        <v>32</v>
      </c>
      <c r="AX24">
        <v>324</v>
      </c>
      <c r="AZ24">
        <v>2</v>
      </c>
      <c r="BB24" s="77">
        <v>24</v>
      </c>
    </row>
    <row r="25" spans="8:54" ht="16.149999999999999" thickBot="1">
      <c r="V25" s="76">
        <v>22</v>
      </c>
      <c r="W25" s="76">
        <v>134</v>
      </c>
      <c r="X25">
        <v>1345</v>
      </c>
      <c r="Y25">
        <v>13</v>
      </c>
      <c r="Z25">
        <v>135</v>
      </c>
      <c r="AB25">
        <v>145</v>
      </c>
      <c r="AC25">
        <v>1</v>
      </c>
      <c r="AD25">
        <v>15</v>
      </c>
      <c r="AE25">
        <v>1342</v>
      </c>
      <c r="AF25">
        <v>13452</v>
      </c>
      <c r="AG25">
        <v>132</v>
      </c>
      <c r="AI25">
        <v>124</v>
      </c>
      <c r="AJ25">
        <v>1452</v>
      </c>
      <c r="AK25">
        <v>12</v>
      </c>
      <c r="AM25">
        <v>43</v>
      </c>
      <c r="AN25">
        <v>435</v>
      </c>
      <c r="AQ25">
        <v>4</v>
      </c>
      <c r="AR25">
        <v>45</v>
      </c>
      <c r="AV25">
        <v>4352</v>
      </c>
      <c r="AX25">
        <v>43524</v>
      </c>
      <c r="AZ25">
        <v>452</v>
      </c>
      <c r="BB25" s="77">
        <v>4524</v>
      </c>
    </row>
    <row r="26" spans="8:54">
      <c r="H26" s="120" t="s">
        <v>320</v>
      </c>
      <c r="I26" s="114">
        <f ca="1">CELL("contents",INDIRECT(ADDRESS(T18+3,T19+23,4,1)))</f>
        <v>453214</v>
      </c>
      <c r="J26" s="115"/>
      <c r="K26" s="116"/>
      <c r="V26" s="76">
        <v>23</v>
      </c>
      <c r="W26" s="76"/>
      <c r="BB26" s="77"/>
    </row>
    <row r="27" spans="8:54" ht="16.149999999999999" thickBot="1">
      <c r="H27" s="120"/>
      <c r="I27" s="117"/>
      <c r="J27" s="118"/>
      <c r="K27" s="119"/>
      <c r="V27" s="76">
        <v>24</v>
      </c>
      <c r="W27" s="76"/>
      <c r="BB27" s="77"/>
    </row>
    <row r="28" spans="8:54">
      <c r="V28" s="76">
        <v>25</v>
      </c>
      <c r="W28" s="76">
        <v>125</v>
      </c>
      <c r="X28">
        <v>12</v>
      </c>
      <c r="Y28">
        <v>1254</v>
      </c>
      <c r="Z28">
        <v>124</v>
      </c>
      <c r="AB28">
        <v>123</v>
      </c>
      <c r="AC28">
        <v>12543</v>
      </c>
      <c r="AD28">
        <v>1243</v>
      </c>
      <c r="AE28">
        <v>15</v>
      </c>
      <c r="AF28">
        <v>1</v>
      </c>
      <c r="AG28">
        <v>154</v>
      </c>
      <c r="AI28">
        <v>153</v>
      </c>
      <c r="AJ28">
        <v>13</v>
      </c>
      <c r="AK28">
        <v>1543</v>
      </c>
      <c r="AM28">
        <v>25</v>
      </c>
      <c r="AN28">
        <v>2</v>
      </c>
      <c r="AQ28">
        <v>253</v>
      </c>
      <c r="AR28">
        <v>23</v>
      </c>
      <c r="AS28">
        <v>2534</v>
      </c>
      <c r="AX28">
        <v>4</v>
      </c>
      <c r="AZ28">
        <v>3</v>
      </c>
      <c r="BB28" s="77">
        <v>43</v>
      </c>
    </row>
    <row r="29" spans="8:54">
      <c r="V29" s="76">
        <v>26</v>
      </c>
      <c r="W29" s="76"/>
      <c r="BB29" s="77"/>
    </row>
    <row r="30" spans="8:54">
      <c r="V30" s="76">
        <v>27</v>
      </c>
      <c r="W30" s="76">
        <v>4125</v>
      </c>
      <c r="X30">
        <v>412</v>
      </c>
      <c r="Y30">
        <v>41254</v>
      </c>
      <c r="Z30">
        <v>4124</v>
      </c>
      <c r="AB30">
        <v>4123</v>
      </c>
      <c r="AC30">
        <v>412543</v>
      </c>
      <c r="AD30">
        <v>41243</v>
      </c>
      <c r="AE30">
        <v>415</v>
      </c>
      <c r="AF30">
        <v>41</v>
      </c>
      <c r="AG30">
        <v>4154</v>
      </c>
      <c r="AI30">
        <v>4153</v>
      </c>
      <c r="AJ30">
        <v>413</v>
      </c>
      <c r="AK30">
        <v>41543</v>
      </c>
      <c r="AM30">
        <v>425</v>
      </c>
      <c r="AN30">
        <v>42</v>
      </c>
      <c r="AQ30">
        <v>4253</v>
      </c>
      <c r="AR30">
        <v>423</v>
      </c>
      <c r="AS30">
        <v>42534</v>
      </c>
      <c r="AV30">
        <v>4</v>
      </c>
      <c r="AZ30">
        <v>43</v>
      </c>
      <c r="BB30" s="77">
        <v>3</v>
      </c>
    </row>
    <row r="31" spans="8:54">
      <c r="V31" s="76">
        <v>28</v>
      </c>
      <c r="W31" s="76"/>
      <c r="BB31" s="77"/>
    </row>
    <row r="32" spans="8:54">
      <c r="V32" s="76">
        <v>29</v>
      </c>
      <c r="W32" s="76">
        <v>1235</v>
      </c>
      <c r="X32">
        <v>123</v>
      </c>
      <c r="Y32">
        <v>12354</v>
      </c>
      <c r="Z32">
        <v>1234</v>
      </c>
      <c r="AB32">
        <v>12</v>
      </c>
      <c r="AC32">
        <v>1245</v>
      </c>
      <c r="AD32">
        <v>124</v>
      </c>
      <c r="AE32">
        <v>135</v>
      </c>
      <c r="AF32">
        <v>13</v>
      </c>
      <c r="AG32">
        <v>1354</v>
      </c>
      <c r="AI32">
        <v>15</v>
      </c>
      <c r="AJ32">
        <v>1</v>
      </c>
      <c r="AK32">
        <v>154</v>
      </c>
      <c r="AM32">
        <v>235</v>
      </c>
      <c r="AN32">
        <v>23</v>
      </c>
      <c r="AQ32">
        <v>25</v>
      </c>
      <c r="AR32">
        <v>2</v>
      </c>
      <c r="AS32">
        <v>254</v>
      </c>
      <c r="AV32">
        <v>3</v>
      </c>
      <c r="AX32">
        <v>34</v>
      </c>
      <c r="BB32" s="77">
        <v>4</v>
      </c>
    </row>
    <row r="33" spans="22:54">
      <c r="V33" s="76">
        <v>30</v>
      </c>
      <c r="W33" s="76"/>
      <c r="BB33" s="77"/>
    </row>
    <row r="34" spans="22:54" ht="16.149999999999999" thickBot="1">
      <c r="V34" s="78">
        <v>31</v>
      </c>
      <c r="W34" s="78">
        <v>41235</v>
      </c>
      <c r="X34" s="79">
        <v>4123</v>
      </c>
      <c r="Y34" s="79">
        <v>412354</v>
      </c>
      <c r="Z34" s="79">
        <v>41234</v>
      </c>
      <c r="AA34" s="79"/>
      <c r="AB34" s="79">
        <v>412</v>
      </c>
      <c r="AC34" s="79">
        <v>41245</v>
      </c>
      <c r="AD34" s="79">
        <v>4124</v>
      </c>
      <c r="AE34" s="79">
        <v>4135</v>
      </c>
      <c r="AF34" s="79">
        <v>413</v>
      </c>
      <c r="AG34" s="79">
        <v>41354</v>
      </c>
      <c r="AH34" s="79"/>
      <c r="AI34" s="79">
        <v>415</v>
      </c>
      <c r="AJ34" s="79">
        <v>41</v>
      </c>
      <c r="AK34" s="79">
        <v>4154</v>
      </c>
      <c r="AL34" s="79"/>
      <c r="AM34" s="79">
        <v>4235</v>
      </c>
      <c r="AN34" s="79">
        <v>423</v>
      </c>
      <c r="AO34" s="79"/>
      <c r="AP34" s="79"/>
      <c r="AQ34" s="79">
        <v>425</v>
      </c>
      <c r="AR34" s="79">
        <v>42</v>
      </c>
      <c r="AS34" s="79">
        <v>4254</v>
      </c>
      <c r="AT34" s="79"/>
      <c r="AU34" s="79"/>
      <c r="AV34" s="79">
        <v>34</v>
      </c>
      <c r="AW34" s="79"/>
      <c r="AX34" s="79">
        <v>3</v>
      </c>
      <c r="AY34" s="79"/>
      <c r="AZ34" s="79">
        <v>4</v>
      </c>
      <c r="BA34" s="79"/>
      <c r="BB34" s="80"/>
    </row>
  </sheetData>
  <mergeCells count="6">
    <mergeCell ref="I14:K15"/>
    <mergeCell ref="I16:K17"/>
    <mergeCell ref="H2:I3"/>
    <mergeCell ref="J2:L3"/>
    <mergeCell ref="I26:K27"/>
    <mergeCell ref="H26:H27"/>
  </mergeCells>
  <conditionalFormatting sqref="M14 M16">
    <cfRule type="cellIs" dxfId="18" priority="4" operator="equal">
      <formula>FALSE</formula>
    </cfRule>
  </conditionalFormatting>
  <conditionalFormatting sqref="W3:BB34">
    <cfRule type="cellIs" dxfId="17" priority="1" operator="equal">
      <formula>-1</formula>
    </cfRule>
  </conditionalFormatting>
  <hyperlinks>
    <hyperlink ref="I9" r:id="rId1" xr:uid="{00000000-0004-0000-0D00-000000000000}"/>
  </hyperlinks>
  <pageMargins left="0.7" right="0.7" top="0.75" bottom="0.75" header="0.3" footer="0.3"/>
  <pageSetup orientation="portrait" horizontalDpi="300" verticalDpi="3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0">
    <tabColor rgb="FF7030A0"/>
  </sheetPr>
  <dimension ref="C9"/>
  <sheetViews>
    <sheetView zoomScale="90" zoomScaleNormal="90" workbookViewId="0">
      <selection activeCell="C9" sqref="C9"/>
    </sheetView>
  </sheetViews>
  <sheetFormatPr defaultRowHeight="15.75"/>
  <sheetData>
    <row r="9" spans="3:3">
      <c r="C9" s="31" t="s">
        <v>185</v>
      </c>
    </row>
  </sheetData>
  <phoneticPr fontId="1" type="noConversion"/>
  <hyperlinks>
    <hyperlink ref="C9" r:id="rId1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E067A-E926-4D6B-BF42-3FAF8D5FE186}">
  <sheetPr codeName="Module___22">
    <tabColor theme="1" tint="0.499984740745262"/>
  </sheetPr>
  <dimension ref="A1:AK68"/>
  <sheetViews>
    <sheetView zoomScale="76" zoomScaleNormal="90" workbookViewId="0">
      <selection activeCell="D33" sqref="D33"/>
    </sheetView>
  </sheetViews>
  <sheetFormatPr defaultRowHeight="15.75"/>
  <cols>
    <col min="1" max="33" width="4.625" customWidth="1"/>
    <col min="34" max="34" width="3.4375" customWidth="1"/>
  </cols>
  <sheetData>
    <row r="1" spans="1:37" ht="16.5" customHeight="1" thickBot="1">
      <c r="A1" s="48"/>
      <c r="B1" s="74">
        <v>0</v>
      </c>
      <c r="C1" s="74">
        <v>1</v>
      </c>
      <c r="D1" s="74">
        <v>2</v>
      </c>
      <c r="E1" s="74">
        <v>3</v>
      </c>
      <c r="F1" s="74">
        <v>4</v>
      </c>
      <c r="G1" s="74">
        <v>5</v>
      </c>
      <c r="H1" s="74">
        <v>6</v>
      </c>
      <c r="I1" s="74">
        <v>7</v>
      </c>
      <c r="J1" s="74">
        <v>8</v>
      </c>
      <c r="K1" s="74">
        <v>9</v>
      </c>
      <c r="L1" s="74">
        <v>10</v>
      </c>
      <c r="M1" s="74">
        <v>11</v>
      </c>
      <c r="N1" s="74">
        <v>12</v>
      </c>
      <c r="O1" s="74">
        <v>13</v>
      </c>
      <c r="P1" s="74">
        <v>14</v>
      </c>
      <c r="Q1" s="74">
        <v>15</v>
      </c>
      <c r="R1" s="74">
        <v>16</v>
      </c>
      <c r="S1" s="74">
        <v>17</v>
      </c>
      <c r="T1" s="74">
        <v>18</v>
      </c>
      <c r="U1" s="74">
        <v>19</v>
      </c>
      <c r="V1" s="74">
        <v>20</v>
      </c>
      <c r="W1" s="74">
        <v>21</v>
      </c>
      <c r="X1" s="74">
        <v>22</v>
      </c>
      <c r="Y1" s="74">
        <v>23</v>
      </c>
      <c r="Z1" s="74">
        <v>24</v>
      </c>
      <c r="AA1" s="74">
        <v>25</v>
      </c>
      <c r="AB1" s="74">
        <v>26</v>
      </c>
      <c r="AC1" s="74">
        <v>27</v>
      </c>
      <c r="AD1" s="74">
        <v>28</v>
      </c>
      <c r="AE1" s="74">
        <v>29</v>
      </c>
      <c r="AF1" s="74">
        <v>30</v>
      </c>
      <c r="AG1" s="75">
        <v>31</v>
      </c>
    </row>
    <row r="2" spans="1:37" ht="15.75" customHeight="1">
      <c r="A2" s="76">
        <v>0</v>
      </c>
      <c r="B2" s="73">
        <v>0</v>
      </c>
      <c r="C2" s="74">
        <v>1</v>
      </c>
      <c r="D2" s="74">
        <v>1</v>
      </c>
      <c r="E2" s="74">
        <v>2</v>
      </c>
      <c r="F2" s="74">
        <v>-1</v>
      </c>
      <c r="G2" s="74">
        <v>2</v>
      </c>
      <c r="H2" s="74">
        <v>2</v>
      </c>
      <c r="I2" s="74">
        <v>3</v>
      </c>
      <c r="J2" s="74">
        <v>1</v>
      </c>
      <c r="K2" s="74">
        <v>2</v>
      </c>
      <c r="L2" s="74">
        <v>2</v>
      </c>
      <c r="M2" s="74">
        <v>-1</v>
      </c>
      <c r="N2" s="74">
        <v>2</v>
      </c>
      <c r="O2" s="74">
        <v>3</v>
      </c>
      <c r="P2" s="74">
        <v>3</v>
      </c>
      <c r="Q2" s="74">
        <v>-1</v>
      </c>
      <c r="R2" s="74">
        <v>1</v>
      </c>
      <c r="S2" s="74">
        <v>2</v>
      </c>
      <c r="T2" s="74">
        <v>-1</v>
      </c>
      <c r="U2" s="74">
        <v>-1</v>
      </c>
      <c r="V2" s="74">
        <v>2</v>
      </c>
      <c r="W2" s="74">
        <v>3</v>
      </c>
      <c r="X2" s="74">
        <v>3</v>
      </c>
      <c r="Y2" s="74">
        <v>-1</v>
      </c>
      <c r="Z2" s="74">
        <v>-1</v>
      </c>
      <c r="AA2" s="74">
        <v>3</v>
      </c>
      <c r="AB2" s="74">
        <v>-1</v>
      </c>
      <c r="AC2" s="74">
        <v>4</v>
      </c>
      <c r="AD2" s="74">
        <v>-1</v>
      </c>
      <c r="AE2" s="74">
        <v>4</v>
      </c>
      <c r="AF2" s="74">
        <v>-1</v>
      </c>
      <c r="AG2" s="75">
        <v>5</v>
      </c>
    </row>
    <row r="3" spans="1:37">
      <c r="A3" s="76">
        <v>1</v>
      </c>
      <c r="B3" s="76">
        <v>1</v>
      </c>
      <c r="C3">
        <v>0</v>
      </c>
      <c r="D3">
        <v>2</v>
      </c>
      <c r="E3">
        <v>1</v>
      </c>
      <c r="F3">
        <v>-1</v>
      </c>
      <c r="G3">
        <v>1</v>
      </c>
      <c r="H3">
        <v>3</v>
      </c>
      <c r="I3">
        <v>2</v>
      </c>
      <c r="J3">
        <v>2</v>
      </c>
      <c r="K3">
        <v>1</v>
      </c>
      <c r="L3">
        <v>3</v>
      </c>
      <c r="M3">
        <v>-1</v>
      </c>
      <c r="N3">
        <v>3</v>
      </c>
      <c r="O3">
        <v>2</v>
      </c>
      <c r="P3">
        <v>4</v>
      </c>
      <c r="Q3">
        <v>-1</v>
      </c>
      <c r="R3">
        <v>2</v>
      </c>
      <c r="S3">
        <v>1</v>
      </c>
      <c r="T3">
        <v>-1</v>
      </c>
      <c r="U3">
        <v>-1</v>
      </c>
      <c r="V3">
        <v>3</v>
      </c>
      <c r="W3">
        <v>2</v>
      </c>
      <c r="X3">
        <v>4</v>
      </c>
      <c r="Y3">
        <v>-1</v>
      </c>
      <c r="Z3">
        <v>-1</v>
      </c>
      <c r="AA3">
        <v>2</v>
      </c>
      <c r="AB3">
        <v>-1</v>
      </c>
      <c r="AC3">
        <v>3</v>
      </c>
      <c r="AD3">
        <v>-1</v>
      </c>
      <c r="AE3">
        <v>3</v>
      </c>
      <c r="AF3">
        <v>-1</v>
      </c>
      <c r="AG3" s="77">
        <v>4</v>
      </c>
    </row>
    <row r="4" spans="1:37">
      <c r="A4" s="76">
        <v>2</v>
      </c>
      <c r="B4" s="76">
        <v>1</v>
      </c>
      <c r="C4">
        <v>2</v>
      </c>
      <c r="D4">
        <v>0</v>
      </c>
      <c r="E4">
        <v>1</v>
      </c>
      <c r="F4">
        <v>-1</v>
      </c>
      <c r="G4">
        <v>3</v>
      </c>
      <c r="H4">
        <v>1</v>
      </c>
      <c r="I4">
        <v>2</v>
      </c>
      <c r="J4">
        <v>2</v>
      </c>
      <c r="K4">
        <v>3</v>
      </c>
      <c r="L4">
        <v>1</v>
      </c>
      <c r="M4">
        <v>-1</v>
      </c>
      <c r="N4">
        <v>3</v>
      </c>
      <c r="O4">
        <v>4</v>
      </c>
      <c r="P4">
        <v>2</v>
      </c>
      <c r="Q4">
        <v>-1</v>
      </c>
      <c r="R4">
        <v>2</v>
      </c>
      <c r="S4">
        <v>3</v>
      </c>
      <c r="T4">
        <v>-1</v>
      </c>
      <c r="U4">
        <v>-1</v>
      </c>
      <c r="V4">
        <v>3</v>
      </c>
      <c r="W4">
        <v>4</v>
      </c>
      <c r="X4">
        <v>2</v>
      </c>
      <c r="Y4">
        <v>-1</v>
      </c>
      <c r="Z4">
        <v>-1</v>
      </c>
      <c r="AA4">
        <v>4</v>
      </c>
      <c r="AB4">
        <v>-1</v>
      </c>
      <c r="AC4">
        <v>5</v>
      </c>
      <c r="AD4">
        <v>-1</v>
      </c>
      <c r="AE4">
        <v>5</v>
      </c>
      <c r="AF4">
        <v>-1</v>
      </c>
      <c r="AG4" s="77">
        <v>6</v>
      </c>
    </row>
    <row r="5" spans="1:37">
      <c r="A5" s="76">
        <v>3</v>
      </c>
      <c r="B5" s="76">
        <v>2</v>
      </c>
      <c r="C5">
        <v>1</v>
      </c>
      <c r="D5">
        <v>1</v>
      </c>
      <c r="E5">
        <v>0</v>
      </c>
      <c r="F5">
        <v>-1</v>
      </c>
      <c r="G5">
        <v>2</v>
      </c>
      <c r="H5">
        <v>2</v>
      </c>
      <c r="I5">
        <v>1</v>
      </c>
      <c r="J5">
        <v>3</v>
      </c>
      <c r="K5">
        <v>2</v>
      </c>
      <c r="L5">
        <v>2</v>
      </c>
      <c r="M5">
        <v>-1</v>
      </c>
      <c r="N5">
        <v>4</v>
      </c>
      <c r="O5">
        <v>3</v>
      </c>
      <c r="P5">
        <v>3</v>
      </c>
      <c r="Q5">
        <v>-1</v>
      </c>
      <c r="R5">
        <v>3</v>
      </c>
      <c r="S5">
        <v>2</v>
      </c>
      <c r="T5">
        <v>-1</v>
      </c>
      <c r="U5">
        <v>-1</v>
      </c>
      <c r="V5">
        <v>4</v>
      </c>
      <c r="W5">
        <v>3</v>
      </c>
      <c r="X5">
        <v>3</v>
      </c>
      <c r="Y5">
        <v>-1</v>
      </c>
      <c r="Z5">
        <v>-1</v>
      </c>
      <c r="AA5">
        <v>3</v>
      </c>
      <c r="AB5">
        <v>-1</v>
      </c>
      <c r="AC5">
        <v>4</v>
      </c>
      <c r="AD5">
        <v>-1</v>
      </c>
      <c r="AE5">
        <v>4</v>
      </c>
      <c r="AF5">
        <v>-1</v>
      </c>
      <c r="AG5" s="77">
        <v>5</v>
      </c>
    </row>
    <row r="6" spans="1:37">
      <c r="A6" s="76">
        <v>4</v>
      </c>
      <c r="B6" s="76">
        <v>-1</v>
      </c>
      <c r="C6">
        <v>-1</v>
      </c>
      <c r="D6">
        <v>-1</v>
      </c>
      <c r="E6">
        <v>-1</v>
      </c>
      <c r="F6">
        <v>-1</v>
      </c>
      <c r="G6">
        <v>-1</v>
      </c>
      <c r="H6">
        <v>-1</v>
      </c>
      <c r="I6">
        <v>-1</v>
      </c>
      <c r="J6">
        <v>-1</v>
      </c>
      <c r="K6">
        <v>-1</v>
      </c>
      <c r="L6">
        <v>-1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  <c r="U6">
        <v>-1</v>
      </c>
      <c r="V6">
        <v>-1</v>
      </c>
      <c r="W6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 s="77">
        <v>-1</v>
      </c>
    </row>
    <row r="7" spans="1:37">
      <c r="A7" s="76">
        <v>5</v>
      </c>
      <c r="B7" s="76">
        <v>2</v>
      </c>
      <c r="C7">
        <v>1</v>
      </c>
      <c r="D7">
        <v>3</v>
      </c>
      <c r="E7">
        <v>2</v>
      </c>
      <c r="F7">
        <v>-1</v>
      </c>
      <c r="G7">
        <v>0</v>
      </c>
      <c r="H7">
        <v>2</v>
      </c>
      <c r="I7">
        <v>1</v>
      </c>
      <c r="J7">
        <v>3</v>
      </c>
      <c r="K7">
        <v>2</v>
      </c>
      <c r="L7">
        <v>4</v>
      </c>
      <c r="M7">
        <v>-1</v>
      </c>
      <c r="N7">
        <v>2</v>
      </c>
      <c r="O7">
        <v>1</v>
      </c>
      <c r="P7">
        <v>3</v>
      </c>
      <c r="Q7">
        <v>-1</v>
      </c>
      <c r="R7">
        <v>3</v>
      </c>
      <c r="S7">
        <v>2</v>
      </c>
      <c r="T7">
        <v>-1</v>
      </c>
      <c r="U7">
        <v>-1</v>
      </c>
      <c r="V7">
        <v>2</v>
      </c>
      <c r="W7">
        <v>1</v>
      </c>
      <c r="X7">
        <v>3</v>
      </c>
      <c r="Y7">
        <v>-1</v>
      </c>
      <c r="Z7">
        <v>-1</v>
      </c>
      <c r="AA7">
        <v>3</v>
      </c>
      <c r="AB7">
        <v>-1</v>
      </c>
      <c r="AC7">
        <v>4</v>
      </c>
      <c r="AD7">
        <v>-1</v>
      </c>
      <c r="AE7">
        <v>2</v>
      </c>
      <c r="AF7">
        <v>-1</v>
      </c>
      <c r="AG7" s="77">
        <v>3</v>
      </c>
    </row>
    <row r="8" spans="1:37">
      <c r="A8" s="76">
        <v>6</v>
      </c>
      <c r="B8" s="76">
        <v>2</v>
      </c>
      <c r="C8">
        <v>3</v>
      </c>
      <c r="D8">
        <v>1</v>
      </c>
      <c r="E8">
        <v>2</v>
      </c>
      <c r="F8">
        <v>-1</v>
      </c>
      <c r="G8">
        <v>2</v>
      </c>
      <c r="H8">
        <v>0</v>
      </c>
      <c r="I8">
        <v>1</v>
      </c>
      <c r="J8">
        <v>3</v>
      </c>
      <c r="K8">
        <v>4</v>
      </c>
      <c r="L8">
        <v>2</v>
      </c>
      <c r="M8">
        <v>-1</v>
      </c>
      <c r="N8">
        <v>2</v>
      </c>
      <c r="O8">
        <v>3</v>
      </c>
      <c r="P8">
        <v>1</v>
      </c>
      <c r="Q8">
        <v>-1</v>
      </c>
      <c r="R8">
        <v>3</v>
      </c>
      <c r="S8">
        <v>4</v>
      </c>
      <c r="T8">
        <v>-1</v>
      </c>
      <c r="U8">
        <v>-1</v>
      </c>
      <c r="V8">
        <v>2</v>
      </c>
      <c r="W8">
        <v>3</v>
      </c>
      <c r="X8">
        <v>1</v>
      </c>
      <c r="Y8">
        <v>-1</v>
      </c>
      <c r="Z8">
        <v>-1</v>
      </c>
      <c r="AA8">
        <v>5</v>
      </c>
      <c r="AB8">
        <v>-1</v>
      </c>
      <c r="AC8">
        <v>6</v>
      </c>
      <c r="AD8">
        <v>-1</v>
      </c>
      <c r="AE8">
        <v>4</v>
      </c>
      <c r="AF8">
        <v>-1</v>
      </c>
      <c r="AG8" s="77">
        <v>5</v>
      </c>
    </row>
    <row r="9" spans="1:37">
      <c r="A9" s="76">
        <v>7</v>
      </c>
      <c r="B9" s="76">
        <v>3</v>
      </c>
      <c r="C9">
        <v>2</v>
      </c>
      <c r="D9">
        <v>2</v>
      </c>
      <c r="E9">
        <v>1</v>
      </c>
      <c r="F9">
        <v>-1</v>
      </c>
      <c r="G9">
        <v>1</v>
      </c>
      <c r="H9">
        <v>1</v>
      </c>
      <c r="I9">
        <v>0</v>
      </c>
      <c r="J9">
        <v>4</v>
      </c>
      <c r="K9">
        <v>3</v>
      </c>
      <c r="L9">
        <v>3</v>
      </c>
      <c r="M9">
        <v>-1</v>
      </c>
      <c r="N9">
        <v>3</v>
      </c>
      <c r="O9">
        <v>2</v>
      </c>
      <c r="P9">
        <v>2</v>
      </c>
      <c r="Q9">
        <v>-1</v>
      </c>
      <c r="R9">
        <v>4</v>
      </c>
      <c r="S9">
        <v>3</v>
      </c>
      <c r="T9">
        <v>-1</v>
      </c>
      <c r="U9">
        <v>-1</v>
      </c>
      <c r="V9">
        <v>3</v>
      </c>
      <c r="W9">
        <v>2</v>
      </c>
      <c r="X9">
        <v>2</v>
      </c>
      <c r="Y9">
        <v>-1</v>
      </c>
      <c r="Z9">
        <v>-1</v>
      </c>
      <c r="AA9">
        <v>4</v>
      </c>
      <c r="AB9">
        <v>-1</v>
      </c>
      <c r="AC9">
        <v>5</v>
      </c>
      <c r="AD9">
        <v>-1</v>
      </c>
      <c r="AE9">
        <v>3</v>
      </c>
      <c r="AF9">
        <v>-1</v>
      </c>
      <c r="AG9" s="77">
        <v>4</v>
      </c>
    </row>
    <row r="10" spans="1:37">
      <c r="A10" s="76">
        <v>8</v>
      </c>
      <c r="B10" s="76">
        <v>1</v>
      </c>
      <c r="C10">
        <v>2</v>
      </c>
      <c r="D10">
        <v>2</v>
      </c>
      <c r="E10">
        <v>3</v>
      </c>
      <c r="F10">
        <v>-1</v>
      </c>
      <c r="G10">
        <v>3</v>
      </c>
      <c r="H10">
        <v>3</v>
      </c>
      <c r="I10">
        <v>4</v>
      </c>
      <c r="J10">
        <v>0</v>
      </c>
      <c r="K10">
        <v>1</v>
      </c>
      <c r="L10">
        <v>1</v>
      </c>
      <c r="M10">
        <v>-1</v>
      </c>
      <c r="N10">
        <v>1</v>
      </c>
      <c r="O10">
        <v>2</v>
      </c>
      <c r="P10">
        <v>2</v>
      </c>
      <c r="Q10">
        <v>-1</v>
      </c>
      <c r="R10">
        <v>2</v>
      </c>
      <c r="S10">
        <v>3</v>
      </c>
      <c r="T10">
        <v>-1</v>
      </c>
      <c r="U10">
        <v>-1</v>
      </c>
      <c r="V10">
        <v>3</v>
      </c>
      <c r="W10">
        <v>4</v>
      </c>
      <c r="X10">
        <v>4</v>
      </c>
      <c r="Y10">
        <v>-1</v>
      </c>
      <c r="Z10">
        <v>-1</v>
      </c>
      <c r="AA10">
        <v>2</v>
      </c>
      <c r="AB10">
        <v>-1</v>
      </c>
      <c r="AC10">
        <v>3</v>
      </c>
      <c r="AD10">
        <v>-1</v>
      </c>
      <c r="AE10">
        <v>3</v>
      </c>
      <c r="AF10">
        <v>-1</v>
      </c>
      <c r="AG10" s="77">
        <v>4</v>
      </c>
    </row>
    <row r="11" spans="1:37" ht="16.149999999999999" thickBot="1">
      <c r="A11" s="76">
        <v>9</v>
      </c>
      <c r="B11" s="76">
        <v>2</v>
      </c>
      <c r="C11">
        <v>1</v>
      </c>
      <c r="D11">
        <v>3</v>
      </c>
      <c r="E11">
        <v>2</v>
      </c>
      <c r="F11">
        <v>-1</v>
      </c>
      <c r="G11">
        <v>2</v>
      </c>
      <c r="H11">
        <v>4</v>
      </c>
      <c r="I11">
        <v>3</v>
      </c>
      <c r="J11">
        <v>1</v>
      </c>
      <c r="K11">
        <v>0</v>
      </c>
      <c r="L11">
        <v>2</v>
      </c>
      <c r="M11">
        <v>-1</v>
      </c>
      <c r="N11">
        <v>2</v>
      </c>
      <c r="O11">
        <v>1</v>
      </c>
      <c r="P11">
        <v>3</v>
      </c>
      <c r="Q11">
        <v>-1</v>
      </c>
      <c r="R11">
        <v>3</v>
      </c>
      <c r="S11">
        <v>2</v>
      </c>
      <c r="T11">
        <v>-1</v>
      </c>
      <c r="U11">
        <v>-1</v>
      </c>
      <c r="V11">
        <v>4</v>
      </c>
      <c r="W11">
        <v>3</v>
      </c>
      <c r="X11">
        <v>5</v>
      </c>
      <c r="Y11">
        <v>-1</v>
      </c>
      <c r="Z11">
        <v>-1</v>
      </c>
      <c r="AA11">
        <v>1</v>
      </c>
      <c r="AB11">
        <v>-1</v>
      </c>
      <c r="AC11">
        <v>2</v>
      </c>
      <c r="AD11">
        <v>-1</v>
      </c>
      <c r="AE11">
        <v>2</v>
      </c>
      <c r="AF11">
        <v>-1</v>
      </c>
      <c r="AG11" s="77">
        <v>3</v>
      </c>
    </row>
    <row r="12" spans="1:37" ht="16.149999999999999" thickBot="1">
      <c r="A12" s="76">
        <v>10</v>
      </c>
      <c r="B12" s="76">
        <v>2</v>
      </c>
      <c r="C12">
        <v>3</v>
      </c>
      <c r="D12">
        <v>1</v>
      </c>
      <c r="E12">
        <v>2</v>
      </c>
      <c r="F12">
        <v>-1</v>
      </c>
      <c r="G12">
        <v>4</v>
      </c>
      <c r="H12">
        <v>2</v>
      </c>
      <c r="I12">
        <v>3</v>
      </c>
      <c r="J12">
        <v>1</v>
      </c>
      <c r="K12">
        <v>2</v>
      </c>
      <c r="L12">
        <v>0</v>
      </c>
      <c r="M12">
        <v>-1</v>
      </c>
      <c r="N12">
        <v>2</v>
      </c>
      <c r="O12">
        <v>3</v>
      </c>
      <c r="P12">
        <v>1</v>
      </c>
      <c r="Q12">
        <v>-1</v>
      </c>
      <c r="R12">
        <v>3</v>
      </c>
      <c r="S12">
        <v>4</v>
      </c>
      <c r="T12">
        <v>-1</v>
      </c>
      <c r="U12">
        <v>-1</v>
      </c>
      <c r="V12">
        <v>4</v>
      </c>
      <c r="W12">
        <v>5</v>
      </c>
      <c r="X12">
        <v>3</v>
      </c>
      <c r="Y12">
        <v>-1</v>
      </c>
      <c r="Z12">
        <v>-1</v>
      </c>
      <c r="AA12">
        <v>3</v>
      </c>
      <c r="AB12">
        <v>-1</v>
      </c>
      <c r="AC12">
        <v>4</v>
      </c>
      <c r="AD12">
        <v>-1</v>
      </c>
      <c r="AE12">
        <v>4</v>
      </c>
      <c r="AF12">
        <v>-1</v>
      </c>
      <c r="AG12" s="77">
        <v>5</v>
      </c>
      <c r="AI12" s="121" t="s">
        <v>326</v>
      </c>
      <c r="AJ12" s="122"/>
      <c r="AK12" t="s">
        <v>325</v>
      </c>
    </row>
    <row r="13" spans="1:37">
      <c r="A13" s="76">
        <v>11</v>
      </c>
      <c r="B13" s="76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  <c r="X13">
        <v>-1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 s="77">
        <v>-1</v>
      </c>
      <c r="AI13" s="73"/>
      <c r="AJ13" s="75"/>
    </row>
    <row r="14" spans="1:37">
      <c r="A14" s="76">
        <v>12</v>
      </c>
      <c r="B14" s="76">
        <v>2</v>
      </c>
      <c r="C14">
        <v>3</v>
      </c>
      <c r="D14">
        <v>3</v>
      </c>
      <c r="E14">
        <v>4</v>
      </c>
      <c r="F14">
        <v>-1</v>
      </c>
      <c r="G14">
        <v>2</v>
      </c>
      <c r="H14">
        <v>2</v>
      </c>
      <c r="I14">
        <v>3</v>
      </c>
      <c r="J14">
        <v>1</v>
      </c>
      <c r="K14">
        <v>2</v>
      </c>
      <c r="L14">
        <v>2</v>
      </c>
      <c r="M14">
        <v>-1</v>
      </c>
      <c r="N14">
        <v>0</v>
      </c>
      <c r="O14">
        <v>1</v>
      </c>
      <c r="P14">
        <v>1</v>
      </c>
      <c r="Q14">
        <v>-1</v>
      </c>
      <c r="R14">
        <v>3</v>
      </c>
      <c r="S14">
        <v>4</v>
      </c>
      <c r="T14">
        <v>-1</v>
      </c>
      <c r="U14">
        <v>-1</v>
      </c>
      <c r="V14">
        <v>4</v>
      </c>
      <c r="W14">
        <v>3</v>
      </c>
      <c r="X14">
        <v>3</v>
      </c>
      <c r="Y14">
        <v>-1</v>
      </c>
      <c r="Z14">
        <v>-1</v>
      </c>
      <c r="AA14">
        <v>3</v>
      </c>
      <c r="AB14">
        <v>-1</v>
      </c>
      <c r="AC14">
        <v>4</v>
      </c>
      <c r="AD14">
        <v>-1</v>
      </c>
      <c r="AE14">
        <v>2</v>
      </c>
      <c r="AF14">
        <v>-1</v>
      </c>
      <c r="AG14" s="77">
        <v>3</v>
      </c>
      <c r="AI14" s="76"/>
      <c r="AJ14" s="77"/>
    </row>
    <row r="15" spans="1:37">
      <c r="A15" s="76">
        <v>13</v>
      </c>
      <c r="B15" s="76">
        <v>3</v>
      </c>
      <c r="C15">
        <v>2</v>
      </c>
      <c r="D15">
        <v>4</v>
      </c>
      <c r="E15">
        <v>3</v>
      </c>
      <c r="F15">
        <v>-1</v>
      </c>
      <c r="G15">
        <v>1</v>
      </c>
      <c r="H15">
        <v>3</v>
      </c>
      <c r="I15">
        <v>2</v>
      </c>
      <c r="J15">
        <v>2</v>
      </c>
      <c r="K15">
        <v>1</v>
      </c>
      <c r="L15">
        <v>3</v>
      </c>
      <c r="M15">
        <v>-1</v>
      </c>
      <c r="N15">
        <v>1</v>
      </c>
      <c r="O15">
        <v>0</v>
      </c>
      <c r="P15">
        <v>2</v>
      </c>
      <c r="Q15">
        <v>-1</v>
      </c>
      <c r="R15">
        <v>4</v>
      </c>
      <c r="S15">
        <v>3</v>
      </c>
      <c r="T15">
        <v>-1</v>
      </c>
      <c r="U15">
        <v>-1</v>
      </c>
      <c r="V15">
        <v>3</v>
      </c>
      <c r="W15">
        <v>2</v>
      </c>
      <c r="X15">
        <v>4</v>
      </c>
      <c r="Y15">
        <v>-1</v>
      </c>
      <c r="Z15">
        <v>-1</v>
      </c>
      <c r="AA15">
        <v>2</v>
      </c>
      <c r="AB15">
        <v>-1</v>
      </c>
      <c r="AC15">
        <v>3</v>
      </c>
      <c r="AD15">
        <v>-1</v>
      </c>
      <c r="AE15">
        <v>1</v>
      </c>
      <c r="AF15">
        <v>-1</v>
      </c>
      <c r="AG15" s="77">
        <v>2</v>
      </c>
      <c r="AI15" s="76"/>
      <c r="AJ15" s="77"/>
    </row>
    <row r="16" spans="1:37">
      <c r="A16" s="76">
        <v>14</v>
      </c>
      <c r="B16" s="76">
        <v>3</v>
      </c>
      <c r="C16">
        <v>4</v>
      </c>
      <c r="D16">
        <v>2</v>
      </c>
      <c r="E16">
        <v>3</v>
      </c>
      <c r="F16">
        <v>-1</v>
      </c>
      <c r="G16">
        <v>3</v>
      </c>
      <c r="H16">
        <v>1</v>
      </c>
      <c r="I16">
        <v>2</v>
      </c>
      <c r="J16">
        <v>2</v>
      </c>
      <c r="K16">
        <v>3</v>
      </c>
      <c r="L16">
        <v>1</v>
      </c>
      <c r="M16">
        <v>-1</v>
      </c>
      <c r="N16">
        <v>1</v>
      </c>
      <c r="O16">
        <v>2</v>
      </c>
      <c r="P16">
        <v>0</v>
      </c>
      <c r="Q16">
        <v>-1</v>
      </c>
      <c r="R16">
        <v>4</v>
      </c>
      <c r="S16">
        <v>5</v>
      </c>
      <c r="T16">
        <v>-1</v>
      </c>
      <c r="U16">
        <v>-1</v>
      </c>
      <c r="V16">
        <v>3</v>
      </c>
      <c r="W16">
        <v>4</v>
      </c>
      <c r="X16">
        <v>2</v>
      </c>
      <c r="Y16">
        <v>-1</v>
      </c>
      <c r="Z16">
        <v>-1</v>
      </c>
      <c r="AA16">
        <v>4</v>
      </c>
      <c r="AB16">
        <v>-1</v>
      </c>
      <c r="AC16">
        <v>5</v>
      </c>
      <c r="AD16">
        <v>-1</v>
      </c>
      <c r="AE16">
        <v>3</v>
      </c>
      <c r="AF16">
        <v>-1</v>
      </c>
      <c r="AG16" s="77">
        <v>4</v>
      </c>
      <c r="AI16" s="76"/>
      <c r="AJ16" s="77"/>
    </row>
    <row r="17" spans="1:36">
      <c r="A17" s="76">
        <v>15</v>
      </c>
      <c r="B17" s="76">
        <v>-1</v>
      </c>
      <c r="C17">
        <v>-1</v>
      </c>
      <c r="D17">
        <v>-1</v>
      </c>
      <c r="E17">
        <v>-1</v>
      </c>
      <c r="F17">
        <v>-1</v>
      </c>
      <c r="G17">
        <v>-1</v>
      </c>
      <c r="H17">
        <v>-1</v>
      </c>
      <c r="I17">
        <v>-1</v>
      </c>
      <c r="J17">
        <v>-1</v>
      </c>
      <c r="K17">
        <v>-1</v>
      </c>
      <c r="L17">
        <v>-1</v>
      </c>
      <c r="M17">
        <v>-1</v>
      </c>
      <c r="N17">
        <v>-1</v>
      </c>
      <c r="O17">
        <v>-1</v>
      </c>
      <c r="P17">
        <v>-1</v>
      </c>
      <c r="Q17">
        <v>-1</v>
      </c>
      <c r="R17">
        <v>-1</v>
      </c>
      <c r="S17">
        <v>-1</v>
      </c>
      <c r="T17">
        <v>-1</v>
      </c>
      <c r="U17">
        <v>-1</v>
      </c>
      <c r="V17">
        <v>-1</v>
      </c>
      <c r="W17">
        <v>-1</v>
      </c>
      <c r="X17">
        <v>-1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 s="77">
        <v>-1</v>
      </c>
      <c r="AI17" s="76"/>
      <c r="AJ17" s="77"/>
    </row>
    <row r="18" spans="1:36">
      <c r="A18" s="76">
        <v>16</v>
      </c>
      <c r="B18" s="76">
        <v>1</v>
      </c>
      <c r="C18">
        <v>2</v>
      </c>
      <c r="D18">
        <v>2</v>
      </c>
      <c r="E18">
        <v>3</v>
      </c>
      <c r="F18">
        <v>-1</v>
      </c>
      <c r="G18">
        <v>3</v>
      </c>
      <c r="H18">
        <v>3</v>
      </c>
      <c r="I18">
        <v>4</v>
      </c>
      <c r="J18">
        <v>2</v>
      </c>
      <c r="K18">
        <v>3</v>
      </c>
      <c r="L18">
        <v>3</v>
      </c>
      <c r="M18">
        <v>-1</v>
      </c>
      <c r="N18">
        <v>3</v>
      </c>
      <c r="O18">
        <v>4</v>
      </c>
      <c r="P18">
        <v>4</v>
      </c>
      <c r="Q18">
        <v>-1</v>
      </c>
      <c r="R18">
        <v>0</v>
      </c>
      <c r="S18">
        <v>1</v>
      </c>
      <c r="T18">
        <v>-1</v>
      </c>
      <c r="U18">
        <v>-1</v>
      </c>
      <c r="V18">
        <v>1</v>
      </c>
      <c r="W18">
        <v>2</v>
      </c>
      <c r="X18">
        <v>2</v>
      </c>
      <c r="Y18">
        <v>-1</v>
      </c>
      <c r="Z18">
        <v>-1</v>
      </c>
      <c r="AA18">
        <v>2</v>
      </c>
      <c r="AB18">
        <v>-1</v>
      </c>
      <c r="AC18">
        <v>3</v>
      </c>
      <c r="AD18">
        <v>-1</v>
      </c>
      <c r="AE18">
        <v>3</v>
      </c>
      <c r="AF18">
        <v>-1</v>
      </c>
      <c r="AG18" s="77">
        <v>4</v>
      </c>
      <c r="AI18" s="76"/>
      <c r="AJ18" s="77"/>
    </row>
    <row r="19" spans="1:36">
      <c r="A19" s="76">
        <v>17</v>
      </c>
      <c r="B19" s="76">
        <v>2</v>
      </c>
      <c r="C19">
        <v>1</v>
      </c>
      <c r="D19">
        <v>3</v>
      </c>
      <c r="E19">
        <v>2</v>
      </c>
      <c r="F19">
        <v>-1</v>
      </c>
      <c r="G19">
        <v>2</v>
      </c>
      <c r="H19">
        <v>4</v>
      </c>
      <c r="I19">
        <v>3</v>
      </c>
      <c r="J19">
        <v>3</v>
      </c>
      <c r="K19">
        <v>2</v>
      </c>
      <c r="L19">
        <v>4</v>
      </c>
      <c r="M19">
        <v>-1</v>
      </c>
      <c r="N19">
        <v>4</v>
      </c>
      <c r="O19">
        <v>3</v>
      </c>
      <c r="P19">
        <v>5</v>
      </c>
      <c r="Q19">
        <v>-1</v>
      </c>
      <c r="R19">
        <v>1</v>
      </c>
      <c r="S19">
        <v>0</v>
      </c>
      <c r="T19">
        <v>-1</v>
      </c>
      <c r="U19">
        <v>-1</v>
      </c>
      <c r="V19">
        <v>2</v>
      </c>
      <c r="W19">
        <v>1</v>
      </c>
      <c r="X19">
        <v>3</v>
      </c>
      <c r="Y19">
        <v>-1</v>
      </c>
      <c r="Z19">
        <v>-1</v>
      </c>
      <c r="AA19">
        <v>1</v>
      </c>
      <c r="AB19">
        <v>-1</v>
      </c>
      <c r="AC19">
        <v>2</v>
      </c>
      <c r="AD19">
        <v>-1</v>
      </c>
      <c r="AE19">
        <v>2</v>
      </c>
      <c r="AF19">
        <v>-1</v>
      </c>
      <c r="AG19" s="77">
        <v>3</v>
      </c>
      <c r="AI19" s="76"/>
      <c r="AJ19" s="77"/>
    </row>
    <row r="20" spans="1:36">
      <c r="A20" s="76">
        <v>18</v>
      </c>
      <c r="B20" s="76">
        <v>-1</v>
      </c>
      <c r="C20">
        <v>-1</v>
      </c>
      <c r="D20">
        <v>-1</v>
      </c>
      <c r="E20">
        <v>-1</v>
      </c>
      <c r="F20">
        <v>-1</v>
      </c>
      <c r="G20">
        <v>-1</v>
      </c>
      <c r="H20">
        <v>-1</v>
      </c>
      <c r="I20">
        <v>-1</v>
      </c>
      <c r="J20">
        <v>-1</v>
      </c>
      <c r="K20">
        <v>-1</v>
      </c>
      <c r="L20">
        <v>-1</v>
      </c>
      <c r="M20">
        <v>-1</v>
      </c>
      <c r="N20">
        <v>-1</v>
      </c>
      <c r="O20">
        <v>-1</v>
      </c>
      <c r="P20">
        <v>-1</v>
      </c>
      <c r="Q20">
        <v>-1</v>
      </c>
      <c r="R20">
        <v>-1</v>
      </c>
      <c r="S20">
        <v>-1</v>
      </c>
      <c r="T20">
        <v>-1</v>
      </c>
      <c r="U20">
        <v>-1</v>
      </c>
      <c r="V20">
        <v>-1</v>
      </c>
      <c r="W20">
        <v>-1</v>
      </c>
      <c r="X20">
        <v>-1</v>
      </c>
      <c r="Y20">
        <v>-1</v>
      </c>
      <c r="Z20">
        <v>-1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-1</v>
      </c>
      <c r="AG20" s="77">
        <v>-1</v>
      </c>
      <c r="AI20" s="76"/>
      <c r="AJ20" s="77"/>
    </row>
    <row r="21" spans="1:36">
      <c r="A21" s="76">
        <v>19</v>
      </c>
      <c r="B21" s="76">
        <v>-1</v>
      </c>
      <c r="C21">
        <v>-1</v>
      </c>
      <c r="D21">
        <v>-1</v>
      </c>
      <c r="E21">
        <v>-1</v>
      </c>
      <c r="F21">
        <v>-1</v>
      </c>
      <c r="G21">
        <v>-1</v>
      </c>
      <c r="H21">
        <v>-1</v>
      </c>
      <c r="I21">
        <v>-1</v>
      </c>
      <c r="J21">
        <v>-1</v>
      </c>
      <c r="K21">
        <v>-1</v>
      </c>
      <c r="L21">
        <v>-1</v>
      </c>
      <c r="M21">
        <v>-1</v>
      </c>
      <c r="N21">
        <v>-1</v>
      </c>
      <c r="O21">
        <v>-1</v>
      </c>
      <c r="P21">
        <v>-1</v>
      </c>
      <c r="Q21">
        <v>-1</v>
      </c>
      <c r="R21">
        <v>-1</v>
      </c>
      <c r="S21">
        <v>-1</v>
      </c>
      <c r="T21">
        <v>-1</v>
      </c>
      <c r="U21">
        <v>-1</v>
      </c>
      <c r="V21">
        <v>-1</v>
      </c>
      <c r="W21">
        <v>-1</v>
      </c>
      <c r="X21">
        <v>-1</v>
      </c>
      <c r="Y21">
        <v>-1</v>
      </c>
      <c r="Z21">
        <v>-1</v>
      </c>
      <c r="AA21">
        <v>-1</v>
      </c>
      <c r="AB21">
        <v>-1</v>
      </c>
      <c r="AC21">
        <v>-1</v>
      </c>
      <c r="AD21">
        <v>-1</v>
      </c>
      <c r="AE21">
        <v>-1</v>
      </c>
      <c r="AF21">
        <v>-1</v>
      </c>
      <c r="AG21" s="77">
        <v>-1</v>
      </c>
      <c r="AI21" s="76"/>
      <c r="AJ21" s="77"/>
    </row>
    <row r="22" spans="1:36">
      <c r="A22" s="76">
        <v>20</v>
      </c>
      <c r="B22" s="76">
        <v>2</v>
      </c>
      <c r="C22">
        <v>3</v>
      </c>
      <c r="D22">
        <v>3</v>
      </c>
      <c r="E22">
        <v>4</v>
      </c>
      <c r="F22">
        <v>-1</v>
      </c>
      <c r="G22">
        <v>2</v>
      </c>
      <c r="H22">
        <v>2</v>
      </c>
      <c r="I22">
        <v>3</v>
      </c>
      <c r="J22">
        <v>3</v>
      </c>
      <c r="K22">
        <v>4</v>
      </c>
      <c r="L22">
        <v>4</v>
      </c>
      <c r="M22">
        <v>-1</v>
      </c>
      <c r="N22">
        <v>4</v>
      </c>
      <c r="O22">
        <v>3</v>
      </c>
      <c r="P22">
        <v>3</v>
      </c>
      <c r="Q22">
        <v>-1</v>
      </c>
      <c r="R22">
        <v>1</v>
      </c>
      <c r="S22">
        <v>2</v>
      </c>
      <c r="T22">
        <v>-1</v>
      </c>
      <c r="U22">
        <v>-1</v>
      </c>
      <c r="V22">
        <v>0</v>
      </c>
      <c r="W22">
        <v>1</v>
      </c>
      <c r="X22">
        <v>1</v>
      </c>
      <c r="Y22">
        <v>-1</v>
      </c>
      <c r="Z22">
        <v>-1</v>
      </c>
      <c r="AA22">
        <v>3</v>
      </c>
      <c r="AB22">
        <v>-1</v>
      </c>
      <c r="AC22">
        <v>4</v>
      </c>
      <c r="AD22">
        <v>-1</v>
      </c>
      <c r="AE22">
        <v>2</v>
      </c>
      <c r="AF22">
        <v>-1</v>
      </c>
      <c r="AG22" s="77">
        <v>3</v>
      </c>
      <c r="AI22" s="76"/>
      <c r="AJ22" s="77"/>
    </row>
    <row r="23" spans="1:36">
      <c r="A23" s="76">
        <v>21</v>
      </c>
      <c r="B23" s="76">
        <v>3</v>
      </c>
      <c r="C23">
        <v>2</v>
      </c>
      <c r="D23">
        <v>4</v>
      </c>
      <c r="E23">
        <v>3</v>
      </c>
      <c r="F23">
        <v>-1</v>
      </c>
      <c r="G23">
        <v>1</v>
      </c>
      <c r="H23">
        <v>3</v>
      </c>
      <c r="I23">
        <v>2</v>
      </c>
      <c r="J23">
        <v>4</v>
      </c>
      <c r="K23">
        <v>3</v>
      </c>
      <c r="L23">
        <v>5</v>
      </c>
      <c r="M23">
        <v>-1</v>
      </c>
      <c r="N23">
        <v>3</v>
      </c>
      <c r="O23">
        <v>2</v>
      </c>
      <c r="P23">
        <v>4</v>
      </c>
      <c r="Q23">
        <v>-1</v>
      </c>
      <c r="R23">
        <v>2</v>
      </c>
      <c r="S23">
        <v>1</v>
      </c>
      <c r="T23">
        <v>-1</v>
      </c>
      <c r="U23">
        <v>-1</v>
      </c>
      <c r="V23">
        <v>1</v>
      </c>
      <c r="W23">
        <v>0</v>
      </c>
      <c r="X23">
        <v>2</v>
      </c>
      <c r="Y23">
        <v>-1</v>
      </c>
      <c r="Z23">
        <v>-1</v>
      </c>
      <c r="AA23">
        <v>2</v>
      </c>
      <c r="AB23">
        <v>-1</v>
      </c>
      <c r="AC23">
        <v>3</v>
      </c>
      <c r="AD23">
        <v>-1</v>
      </c>
      <c r="AE23">
        <v>1</v>
      </c>
      <c r="AF23">
        <v>-1</v>
      </c>
      <c r="AG23" s="77">
        <v>2</v>
      </c>
      <c r="AI23" s="76"/>
      <c r="AJ23" s="77"/>
    </row>
    <row r="24" spans="1:36" ht="16.149999999999999" thickBot="1">
      <c r="A24" s="76">
        <v>22</v>
      </c>
      <c r="B24" s="76">
        <v>3</v>
      </c>
      <c r="C24">
        <v>4</v>
      </c>
      <c r="D24">
        <v>2</v>
      </c>
      <c r="E24">
        <v>3</v>
      </c>
      <c r="F24">
        <v>-1</v>
      </c>
      <c r="G24">
        <v>3</v>
      </c>
      <c r="H24">
        <v>1</v>
      </c>
      <c r="I24">
        <v>2</v>
      </c>
      <c r="J24">
        <v>4</v>
      </c>
      <c r="K24">
        <v>5</v>
      </c>
      <c r="L24">
        <v>3</v>
      </c>
      <c r="M24">
        <v>-1</v>
      </c>
      <c r="N24">
        <v>3</v>
      </c>
      <c r="O24">
        <v>4</v>
      </c>
      <c r="P24">
        <v>2</v>
      </c>
      <c r="Q24">
        <v>-1</v>
      </c>
      <c r="R24">
        <v>2</v>
      </c>
      <c r="S24">
        <v>3</v>
      </c>
      <c r="T24">
        <v>-1</v>
      </c>
      <c r="U24">
        <v>-1</v>
      </c>
      <c r="V24">
        <v>1</v>
      </c>
      <c r="W24">
        <v>2</v>
      </c>
      <c r="X24">
        <v>0</v>
      </c>
      <c r="Y24">
        <v>-1</v>
      </c>
      <c r="Z24">
        <v>-1</v>
      </c>
      <c r="AA24">
        <v>4</v>
      </c>
      <c r="AB24">
        <v>-1</v>
      </c>
      <c r="AC24">
        <v>5</v>
      </c>
      <c r="AD24">
        <v>-1</v>
      </c>
      <c r="AE24">
        <v>3</v>
      </c>
      <c r="AF24">
        <v>-1</v>
      </c>
      <c r="AG24" s="77">
        <v>4</v>
      </c>
      <c r="AI24" s="78"/>
      <c r="AJ24" s="80"/>
    </row>
    <row r="25" spans="1:36">
      <c r="A25" s="76">
        <v>23</v>
      </c>
      <c r="B25" s="76">
        <v>-1</v>
      </c>
      <c r="C25">
        <v>-1</v>
      </c>
      <c r="D25">
        <v>-1</v>
      </c>
      <c r="E25">
        <v>-1</v>
      </c>
      <c r="F25">
        <v>-1</v>
      </c>
      <c r="G25">
        <v>-1</v>
      </c>
      <c r="H25">
        <v>-1</v>
      </c>
      <c r="I25">
        <v>-1</v>
      </c>
      <c r="J25">
        <v>-1</v>
      </c>
      <c r="K25">
        <v>-1</v>
      </c>
      <c r="L25">
        <v>-1</v>
      </c>
      <c r="M25">
        <v>-1</v>
      </c>
      <c r="N25">
        <v>-1</v>
      </c>
      <c r="O25">
        <v>-1</v>
      </c>
      <c r="P25">
        <v>-1</v>
      </c>
      <c r="Q25">
        <v>-1</v>
      </c>
      <c r="R25">
        <v>-1</v>
      </c>
      <c r="S25">
        <v>-1</v>
      </c>
      <c r="T25">
        <v>-1</v>
      </c>
      <c r="U25">
        <v>-1</v>
      </c>
      <c r="V25">
        <v>-1</v>
      </c>
      <c r="W25">
        <v>-1</v>
      </c>
      <c r="X25">
        <v>-1</v>
      </c>
      <c r="Y25">
        <v>-1</v>
      </c>
      <c r="Z25">
        <v>-1</v>
      </c>
      <c r="AA25">
        <v>-1</v>
      </c>
      <c r="AB25">
        <v>-1</v>
      </c>
      <c r="AC25">
        <v>-1</v>
      </c>
      <c r="AD25">
        <v>-1</v>
      </c>
      <c r="AE25">
        <v>-1</v>
      </c>
      <c r="AF25">
        <v>-1</v>
      </c>
      <c r="AG25" s="77">
        <v>-1</v>
      </c>
    </row>
    <row r="26" spans="1:36">
      <c r="A26" s="76">
        <v>24</v>
      </c>
      <c r="B26" s="76">
        <v>-1</v>
      </c>
      <c r="C26">
        <v>-1</v>
      </c>
      <c r="D26">
        <v>-1</v>
      </c>
      <c r="E26">
        <v>-1</v>
      </c>
      <c r="F26">
        <v>-1</v>
      </c>
      <c r="G26">
        <v>-1</v>
      </c>
      <c r="H26">
        <v>-1</v>
      </c>
      <c r="I26">
        <v>-1</v>
      </c>
      <c r="J26">
        <v>-1</v>
      </c>
      <c r="K26">
        <v>-1</v>
      </c>
      <c r="L26">
        <v>-1</v>
      </c>
      <c r="M26">
        <v>-1</v>
      </c>
      <c r="N26">
        <v>-1</v>
      </c>
      <c r="O26">
        <v>-1</v>
      </c>
      <c r="P26">
        <v>-1</v>
      </c>
      <c r="Q26">
        <v>-1</v>
      </c>
      <c r="R26">
        <v>-1</v>
      </c>
      <c r="S26">
        <v>-1</v>
      </c>
      <c r="T26">
        <v>-1</v>
      </c>
      <c r="U26">
        <v>-1</v>
      </c>
      <c r="V26">
        <v>-1</v>
      </c>
      <c r="W26">
        <v>-1</v>
      </c>
      <c r="X26">
        <v>-1</v>
      </c>
      <c r="Y26">
        <v>-1</v>
      </c>
      <c r="Z26">
        <v>-1</v>
      </c>
      <c r="AA26">
        <v>-1</v>
      </c>
      <c r="AB26">
        <v>-1</v>
      </c>
      <c r="AC26">
        <v>-1</v>
      </c>
      <c r="AD26">
        <v>-1</v>
      </c>
      <c r="AE26">
        <v>-1</v>
      </c>
      <c r="AF26">
        <v>-1</v>
      </c>
      <c r="AG26" s="77">
        <v>-1</v>
      </c>
    </row>
    <row r="27" spans="1:36">
      <c r="A27" s="76">
        <v>25</v>
      </c>
      <c r="B27" s="76">
        <v>3</v>
      </c>
      <c r="C27">
        <v>2</v>
      </c>
      <c r="D27">
        <v>4</v>
      </c>
      <c r="E27">
        <v>3</v>
      </c>
      <c r="F27">
        <v>-1</v>
      </c>
      <c r="G27">
        <v>3</v>
      </c>
      <c r="H27">
        <v>5</v>
      </c>
      <c r="I27">
        <v>4</v>
      </c>
      <c r="J27">
        <v>2</v>
      </c>
      <c r="K27">
        <v>1</v>
      </c>
      <c r="L27">
        <v>3</v>
      </c>
      <c r="M27">
        <v>-1</v>
      </c>
      <c r="N27">
        <v>3</v>
      </c>
      <c r="O27">
        <v>2</v>
      </c>
      <c r="P27">
        <v>4</v>
      </c>
      <c r="Q27">
        <v>-1</v>
      </c>
      <c r="R27">
        <v>2</v>
      </c>
      <c r="S27">
        <v>1</v>
      </c>
      <c r="T27">
        <v>-1</v>
      </c>
      <c r="U27">
        <v>-1</v>
      </c>
      <c r="V27">
        <v>3</v>
      </c>
      <c r="W27">
        <v>2</v>
      </c>
      <c r="X27">
        <v>4</v>
      </c>
      <c r="Y27">
        <v>-1</v>
      </c>
      <c r="Z27">
        <v>-1</v>
      </c>
      <c r="AA27">
        <v>0</v>
      </c>
      <c r="AB27">
        <v>-1</v>
      </c>
      <c r="AC27">
        <v>1</v>
      </c>
      <c r="AD27">
        <v>-1</v>
      </c>
      <c r="AE27">
        <v>1</v>
      </c>
      <c r="AF27">
        <v>-1</v>
      </c>
      <c r="AG27" s="77">
        <v>2</v>
      </c>
    </row>
    <row r="28" spans="1:36">
      <c r="A28" s="76">
        <v>26</v>
      </c>
      <c r="B28" s="76">
        <v>-1</v>
      </c>
      <c r="C28">
        <v>-1</v>
      </c>
      <c r="D28">
        <v>-1</v>
      </c>
      <c r="E28">
        <v>-1</v>
      </c>
      <c r="F28">
        <v>-1</v>
      </c>
      <c r="G28">
        <v>-1</v>
      </c>
      <c r="H28">
        <v>-1</v>
      </c>
      <c r="I28">
        <v>-1</v>
      </c>
      <c r="J28">
        <v>-1</v>
      </c>
      <c r="K28">
        <v>-1</v>
      </c>
      <c r="L28">
        <v>-1</v>
      </c>
      <c r="M28">
        <v>-1</v>
      </c>
      <c r="N28">
        <v>-1</v>
      </c>
      <c r="O28">
        <v>-1</v>
      </c>
      <c r="P28">
        <v>-1</v>
      </c>
      <c r="Q28">
        <v>-1</v>
      </c>
      <c r="R28">
        <v>-1</v>
      </c>
      <c r="S28">
        <v>-1</v>
      </c>
      <c r="T28">
        <v>-1</v>
      </c>
      <c r="U28">
        <v>-1</v>
      </c>
      <c r="V28">
        <v>-1</v>
      </c>
      <c r="W28">
        <v>-1</v>
      </c>
      <c r="X28">
        <v>-1</v>
      </c>
      <c r="Y28">
        <v>-1</v>
      </c>
      <c r="Z28">
        <v>-1</v>
      </c>
      <c r="AA28">
        <v>-1</v>
      </c>
      <c r="AB28">
        <v>-1</v>
      </c>
      <c r="AC28">
        <v>-1</v>
      </c>
      <c r="AD28">
        <v>-1</v>
      </c>
      <c r="AE28">
        <v>-1</v>
      </c>
      <c r="AF28">
        <v>-1</v>
      </c>
      <c r="AG28" s="77">
        <v>-1</v>
      </c>
    </row>
    <row r="29" spans="1:36">
      <c r="A29" s="76">
        <v>27</v>
      </c>
      <c r="B29" s="76">
        <v>4</v>
      </c>
      <c r="C29">
        <v>3</v>
      </c>
      <c r="D29">
        <v>5</v>
      </c>
      <c r="E29">
        <v>4</v>
      </c>
      <c r="F29">
        <v>-1</v>
      </c>
      <c r="G29">
        <v>4</v>
      </c>
      <c r="H29">
        <v>6</v>
      </c>
      <c r="I29">
        <v>5</v>
      </c>
      <c r="J29">
        <v>3</v>
      </c>
      <c r="K29">
        <v>2</v>
      </c>
      <c r="L29">
        <v>4</v>
      </c>
      <c r="M29">
        <v>-1</v>
      </c>
      <c r="N29">
        <v>4</v>
      </c>
      <c r="O29">
        <v>3</v>
      </c>
      <c r="P29">
        <v>5</v>
      </c>
      <c r="Q29">
        <v>-1</v>
      </c>
      <c r="R29">
        <v>3</v>
      </c>
      <c r="S29">
        <v>2</v>
      </c>
      <c r="T29">
        <v>-1</v>
      </c>
      <c r="U29">
        <v>-1</v>
      </c>
      <c r="V29">
        <v>4</v>
      </c>
      <c r="W29">
        <v>3</v>
      </c>
      <c r="X29">
        <v>5</v>
      </c>
      <c r="Y29">
        <v>-1</v>
      </c>
      <c r="Z29">
        <v>-1</v>
      </c>
      <c r="AA29">
        <v>1</v>
      </c>
      <c r="AB29">
        <v>-1</v>
      </c>
      <c r="AC29">
        <v>0</v>
      </c>
      <c r="AD29">
        <v>-1</v>
      </c>
      <c r="AE29">
        <v>2</v>
      </c>
      <c r="AF29">
        <v>-1</v>
      </c>
      <c r="AG29" s="77">
        <v>1</v>
      </c>
    </row>
    <row r="30" spans="1:36">
      <c r="A30" s="76">
        <v>28</v>
      </c>
      <c r="B30" s="76">
        <v>-1</v>
      </c>
      <c r="C30">
        <v>-1</v>
      </c>
      <c r="D30">
        <v>-1</v>
      </c>
      <c r="E30">
        <v>-1</v>
      </c>
      <c r="F30">
        <v>-1</v>
      </c>
      <c r="G30">
        <v>-1</v>
      </c>
      <c r="H30">
        <v>-1</v>
      </c>
      <c r="I30">
        <v>-1</v>
      </c>
      <c r="J30">
        <v>-1</v>
      </c>
      <c r="K30">
        <v>-1</v>
      </c>
      <c r="L30">
        <v>-1</v>
      </c>
      <c r="M30">
        <v>-1</v>
      </c>
      <c r="N30">
        <v>-1</v>
      </c>
      <c r="O30">
        <v>-1</v>
      </c>
      <c r="P30">
        <v>-1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>
        <v>-1</v>
      </c>
      <c r="Y30">
        <v>-1</v>
      </c>
      <c r="Z30">
        <v>-1</v>
      </c>
      <c r="AA30">
        <v>-1</v>
      </c>
      <c r="AB30">
        <v>-1</v>
      </c>
      <c r="AC30">
        <v>-1</v>
      </c>
      <c r="AD30">
        <v>-1</v>
      </c>
      <c r="AE30">
        <v>-1</v>
      </c>
      <c r="AF30">
        <v>-1</v>
      </c>
      <c r="AG30" s="77">
        <v>-1</v>
      </c>
    </row>
    <row r="31" spans="1:36">
      <c r="A31" s="76">
        <v>29</v>
      </c>
      <c r="B31" s="76">
        <v>4</v>
      </c>
      <c r="C31">
        <v>3</v>
      </c>
      <c r="D31">
        <v>5</v>
      </c>
      <c r="E31">
        <v>4</v>
      </c>
      <c r="F31">
        <v>-1</v>
      </c>
      <c r="G31">
        <v>2</v>
      </c>
      <c r="H31">
        <v>4</v>
      </c>
      <c r="I31">
        <v>3</v>
      </c>
      <c r="J31">
        <v>3</v>
      </c>
      <c r="K31">
        <v>2</v>
      </c>
      <c r="L31">
        <v>4</v>
      </c>
      <c r="M31">
        <v>-1</v>
      </c>
      <c r="N31">
        <v>2</v>
      </c>
      <c r="O31">
        <v>1</v>
      </c>
      <c r="P31">
        <v>3</v>
      </c>
      <c r="Q31">
        <v>-1</v>
      </c>
      <c r="R31">
        <v>3</v>
      </c>
      <c r="S31">
        <v>2</v>
      </c>
      <c r="T31">
        <v>-1</v>
      </c>
      <c r="U31">
        <v>-1</v>
      </c>
      <c r="V31">
        <v>2</v>
      </c>
      <c r="W31">
        <v>1</v>
      </c>
      <c r="X31">
        <v>3</v>
      </c>
      <c r="Y31">
        <v>-1</v>
      </c>
      <c r="Z31">
        <v>-1</v>
      </c>
      <c r="AA31">
        <v>1</v>
      </c>
      <c r="AB31">
        <v>-1</v>
      </c>
      <c r="AC31">
        <v>2</v>
      </c>
      <c r="AD31">
        <v>-1</v>
      </c>
      <c r="AE31">
        <v>0</v>
      </c>
      <c r="AF31">
        <v>-1</v>
      </c>
      <c r="AG31" s="77">
        <v>1</v>
      </c>
    </row>
    <row r="32" spans="1:36">
      <c r="A32" s="76">
        <v>30</v>
      </c>
      <c r="B32" s="76">
        <v>-1</v>
      </c>
      <c r="C32">
        <v>-1</v>
      </c>
      <c r="D32">
        <v>-1</v>
      </c>
      <c r="E32">
        <v>-1</v>
      </c>
      <c r="F32">
        <v>-1</v>
      </c>
      <c r="G32">
        <v>-1</v>
      </c>
      <c r="H32">
        <v>-1</v>
      </c>
      <c r="I32">
        <v>-1</v>
      </c>
      <c r="J32">
        <v>-1</v>
      </c>
      <c r="K32">
        <v>-1</v>
      </c>
      <c r="L32">
        <v>-1</v>
      </c>
      <c r="M32">
        <v>-1</v>
      </c>
      <c r="N32">
        <v>-1</v>
      </c>
      <c r="O32">
        <v>-1</v>
      </c>
      <c r="P32">
        <v>-1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-1</v>
      </c>
      <c r="X32">
        <v>-1</v>
      </c>
      <c r="Y32">
        <v>-1</v>
      </c>
      <c r="Z32">
        <v>-1</v>
      </c>
      <c r="AA32">
        <v>-1</v>
      </c>
      <c r="AB32">
        <v>-1</v>
      </c>
      <c r="AC32">
        <v>-1</v>
      </c>
      <c r="AD32">
        <v>-1</v>
      </c>
      <c r="AE32">
        <v>-1</v>
      </c>
      <c r="AF32">
        <v>-1</v>
      </c>
      <c r="AG32" s="77">
        <v>-1</v>
      </c>
    </row>
    <row r="33" spans="1:33" ht="16.149999999999999" thickBot="1">
      <c r="A33" s="78">
        <v>31</v>
      </c>
      <c r="B33" s="78">
        <v>5</v>
      </c>
      <c r="C33" s="79">
        <v>4</v>
      </c>
      <c r="D33" s="79">
        <v>6</v>
      </c>
      <c r="E33" s="79">
        <v>5</v>
      </c>
      <c r="F33" s="79">
        <v>-1</v>
      </c>
      <c r="G33" s="79">
        <v>3</v>
      </c>
      <c r="H33" s="79">
        <v>5</v>
      </c>
      <c r="I33" s="79">
        <v>4</v>
      </c>
      <c r="J33" s="79">
        <v>4</v>
      </c>
      <c r="K33" s="79">
        <v>3</v>
      </c>
      <c r="L33" s="79">
        <v>5</v>
      </c>
      <c r="M33" s="79">
        <v>-1</v>
      </c>
      <c r="N33" s="79">
        <v>3</v>
      </c>
      <c r="O33" s="79">
        <v>2</v>
      </c>
      <c r="P33" s="79">
        <v>4</v>
      </c>
      <c r="Q33" s="79">
        <v>-1</v>
      </c>
      <c r="R33" s="79">
        <v>4</v>
      </c>
      <c r="S33" s="79">
        <v>3</v>
      </c>
      <c r="T33" s="79">
        <v>-1</v>
      </c>
      <c r="U33" s="79">
        <v>-1</v>
      </c>
      <c r="V33" s="79">
        <v>3</v>
      </c>
      <c r="W33" s="79">
        <v>2</v>
      </c>
      <c r="X33" s="79">
        <v>4</v>
      </c>
      <c r="Y33" s="79">
        <v>-1</v>
      </c>
      <c r="Z33" s="79">
        <v>-1</v>
      </c>
      <c r="AA33" s="79">
        <v>2</v>
      </c>
      <c r="AB33" s="79">
        <v>-1</v>
      </c>
      <c r="AC33" s="79">
        <v>1</v>
      </c>
      <c r="AD33" s="79">
        <v>-1</v>
      </c>
      <c r="AE33" s="79">
        <v>1</v>
      </c>
      <c r="AF33" s="79">
        <v>-1</v>
      </c>
      <c r="AG33" s="80">
        <v>0</v>
      </c>
    </row>
    <row r="35" spans="1:33" ht="16.149999999999999" thickBot="1">
      <c r="B35" t="s">
        <v>324</v>
      </c>
    </row>
    <row r="36" spans="1:33" ht="16.149999999999999" thickBot="1">
      <c r="A36" s="81" t="s">
        <v>323</v>
      </c>
      <c r="B36" s="74">
        <v>0</v>
      </c>
      <c r="C36" s="74">
        <v>1</v>
      </c>
      <c r="D36" s="74">
        <v>2</v>
      </c>
      <c r="E36" s="74">
        <v>3</v>
      </c>
      <c r="F36" s="74">
        <v>4</v>
      </c>
      <c r="G36" s="74">
        <v>5</v>
      </c>
      <c r="H36" s="74">
        <v>6</v>
      </c>
      <c r="I36" s="74">
        <v>7</v>
      </c>
      <c r="J36" s="74">
        <v>8</v>
      </c>
      <c r="K36" s="74">
        <v>9</v>
      </c>
      <c r="L36" s="74">
        <v>10</v>
      </c>
      <c r="M36" s="74">
        <v>11</v>
      </c>
      <c r="N36" s="74">
        <v>12</v>
      </c>
      <c r="O36" s="74">
        <v>13</v>
      </c>
      <c r="P36" s="74">
        <v>14</v>
      </c>
      <c r="Q36" s="74">
        <v>15</v>
      </c>
      <c r="R36" s="74">
        <v>16</v>
      </c>
      <c r="S36" s="74">
        <v>17</v>
      </c>
      <c r="T36" s="74">
        <v>18</v>
      </c>
      <c r="U36" s="74">
        <v>19</v>
      </c>
      <c r="V36" s="74">
        <v>20</v>
      </c>
      <c r="W36" s="74">
        <v>21</v>
      </c>
      <c r="X36" s="74">
        <v>22</v>
      </c>
      <c r="Y36" s="74">
        <v>23</v>
      </c>
      <c r="Z36" s="74">
        <v>24</v>
      </c>
      <c r="AA36" s="74">
        <v>25</v>
      </c>
      <c r="AB36" s="74">
        <v>26</v>
      </c>
      <c r="AC36" s="74">
        <v>27</v>
      </c>
      <c r="AD36" s="74">
        <v>28</v>
      </c>
      <c r="AE36" s="74">
        <v>29</v>
      </c>
      <c r="AF36" s="74">
        <v>30</v>
      </c>
      <c r="AG36" s="75">
        <v>31</v>
      </c>
    </row>
    <row r="37" spans="1:33">
      <c r="A37" s="76">
        <v>0</v>
      </c>
      <c r="B37" s="73"/>
      <c r="C37" s="74">
        <v>5</v>
      </c>
      <c r="D37" s="74">
        <v>4</v>
      </c>
      <c r="E37" s="74">
        <v>54</v>
      </c>
      <c r="F37" s="74"/>
      <c r="G37" s="74">
        <v>53</v>
      </c>
      <c r="H37" s="74">
        <v>43</v>
      </c>
      <c r="I37" s="74">
        <v>543</v>
      </c>
      <c r="J37" s="74">
        <v>2</v>
      </c>
      <c r="K37" s="74">
        <v>52</v>
      </c>
      <c r="L37" s="74">
        <v>42</v>
      </c>
      <c r="M37" s="74"/>
      <c r="N37" s="74">
        <v>23</v>
      </c>
      <c r="O37" s="74">
        <v>532</v>
      </c>
      <c r="P37" s="74">
        <v>432</v>
      </c>
      <c r="Q37" s="74"/>
      <c r="R37" s="74">
        <v>1</v>
      </c>
      <c r="S37" s="74">
        <v>51</v>
      </c>
      <c r="T37" s="74"/>
      <c r="U37" s="74"/>
      <c r="V37" s="74">
        <v>13</v>
      </c>
      <c r="W37" s="74">
        <v>531</v>
      </c>
      <c r="X37" s="74">
        <v>431</v>
      </c>
      <c r="Y37" s="74"/>
      <c r="Z37" s="74"/>
      <c r="AA37" s="74">
        <v>521</v>
      </c>
      <c r="AB37" s="74"/>
      <c r="AC37" s="74">
        <v>5214</v>
      </c>
      <c r="AD37" s="74"/>
      <c r="AE37" s="74">
        <v>5321</v>
      </c>
      <c r="AF37" s="74"/>
      <c r="AG37" s="75">
        <v>53214</v>
      </c>
    </row>
    <row r="38" spans="1:33">
      <c r="A38" s="76">
        <v>1</v>
      </c>
      <c r="B38" s="76">
        <v>5</v>
      </c>
      <c r="D38">
        <v>54</v>
      </c>
      <c r="E38">
        <v>4</v>
      </c>
      <c r="G38">
        <v>3</v>
      </c>
      <c r="H38">
        <v>543</v>
      </c>
      <c r="I38">
        <v>43</v>
      </c>
      <c r="J38">
        <v>52</v>
      </c>
      <c r="K38">
        <v>2</v>
      </c>
      <c r="L38">
        <v>542</v>
      </c>
      <c r="N38">
        <v>523</v>
      </c>
      <c r="O38">
        <v>32</v>
      </c>
      <c r="P38">
        <v>5432</v>
      </c>
      <c r="R38">
        <v>51</v>
      </c>
      <c r="S38">
        <v>1</v>
      </c>
      <c r="V38">
        <v>513</v>
      </c>
      <c r="W38">
        <v>31</v>
      </c>
      <c r="X38">
        <v>5431</v>
      </c>
      <c r="AA38">
        <v>21</v>
      </c>
      <c r="AC38">
        <v>214</v>
      </c>
      <c r="AE38">
        <v>321</v>
      </c>
      <c r="AG38" s="77">
        <v>3214</v>
      </c>
    </row>
    <row r="39" spans="1:33">
      <c r="A39" s="76">
        <v>2</v>
      </c>
      <c r="B39" s="76">
        <v>4</v>
      </c>
      <c r="C39">
        <v>45</v>
      </c>
      <c r="E39">
        <v>5</v>
      </c>
      <c r="G39">
        <v>453</v>
      </c>
      <c r="H39">
        <v>3</v>
      </c>
      <c r="I39">
        <v>53</v>
      </c>
      <c r="J39">
        <v>42</v>
      </c>
      <c r="K39">
        <v>452</v>
      </c>
      <c r="L39">
        <v>2</v>
      </c>
      <c r="N39">
        <v>423</v>
      </c>
      <c r="O39">
        <v>4532</v>
      </c>
      <c r="P39">
        <v>32</v>
      </c>
      <c r="R39">
        <v>41</v>
      </c>
      <c r="S39">
        <v>451</v>
      </c>
      <c r="V39">
        <v>413</v>
      </c>
      <c r="W39">
        <v>4531</v>
      </c>
      <c r="X39">
        <v>31</v>
      </c>
      <c r="AA39">
        <v>4521</v>
      </c>
      <c r="AC39">
        <v>45214</v>
      </c>
      <c r="AE39">
        <v>45321</v>
      </c>
      <c r="AG39" s="77">
        <v>453214</v>
      </c>
    </row>
    <row r="40" spans="1:33">
      <c r="A40" s="76">
        <v>3</v>
      </c>
      <c r="B40" s="76">
        <v>45</v>
      </c>
      <c r="C40">
        <v>4</v>
      </c>
      <c r="D40">
        <v>5</v>
      </c>
      <c r="G40">
        <v>43</v>
      </c>
      <c r="H40">
        <v>53</v>
      </c>
      <c r="I40">
        <v>3</v>
      </c>
      <c r="J40">
        <v>452</v>
      </c>
      <c r="K40">
        <v>42</v>
      </c>
      <c r="L40">
        <v>52</v>
      </c>
      <c r="N40">
        <v>4523</v>
      </c>
      <c r="O40">
        <v>432</v>
      </c>
      <c r="P40">
        <v>532</v>
      </c>
      <c r="R40">
        <v>451</v>
      </c>
      <c r="S40">
        <v>41</v>
      </c>
      <c r="V40">
        <v>4513</v>
      </c>
      <c r="W40">
        <v>431</v>
      </c>
      <c r="X40">
        <v>531</v>
      </c>
      <c r="AA40">
        <v>421</v>
      </c>
      <c r="AC40">
        <v>4214</v>
      </c>
      <c r="AE40">
        <v>4321</v>
      </c>
      <c r="AG40" s="77">
        <v>43214</v>
      </c>
    </row>
    <row r="41" spans="1:33">
      <c r="A41" s="76">
        <v>4</v>
      </c>
      <c r="B41" s="76"/>
      <c r="AG41" s="77"/>
    </row>
    <row r="42" spans="1:33">
      <c r="A42" s="76">
        <v>5</v>
      </c>
      <c r="B42" s="76">
        <v>35</v>
      </c>
      <c r="C42">
        <v>3</v>
      </c>
      <c r="D42">
        <v>354</v>
      </c>
      <c r="E42">
        <v>34</v>
      </c>
      <c r="H42">
        <v>45</v>
      </c>
      <c r="I42">
        <v>4</v>
      </c>
      <c r="J42">
        <v>352</v>
      </c>
      <c r="K42">
        <v>32</v>
      </c>
      <c r="L42">
        <v>3542</v>
      </c>
      <c r="N42">
        <v>25</v>
      </c>
      <c r="O42">
        <v>2</v>
      </c>
      <c r="P42">
        <v>452</v>
      </c>
      <c r="R42">
        <v>351</v>
      </c>
      <c r="S42">
        <v>31</v>
      </c>
      <c r="V42">
        <v>15</v>
      </c>
      <c r="W42">
        <v>1</v>
      </c>
      <c r="X42">
        <v>451</v>
      </c>
      <c r="AA42">
        <v>321</v>
      </c>
      <c r="AC42">
        <v>3214</v>
      </c>
      <c r="AE42">
        <v>21</v>
      </c>
      <c r="AG42" s="77">
        <v>214</v>
      </c>
    </row>
    <row r="43" spans="1:33">
      <c r="A43" s="76">
        <v>6</v>
      </c>
      <c r="B43" s="76">
        <v>34</v>
      </c>
      <c r="C43">
        <v>345</v>
      </c>
      <c r="D43">
        <v>3</v>
      </c>
      <c r="E43">
        <v>35</v>
      </c>
      <c r="G43">
        <v>45</v>
      </c>
      <c r="I43">
        <v>5</v>
      </c>
      <c r="J43">
        <v>342</v>
      </c>
      <c r="K43">
        <v>3452</v>
      </c>
      <c r="L43">
        <v>32</v>
      </c>
      <c r="N43">
        <v>24</v>
      </c>
      <c r="O43">
        <v>452</v>
      </c>
      <c r="P43">
        <v>2</v>
      </c>
      <c r="R43">
        <v>341</v>
      </c>
      <c r="S43">
        <v>3451</v>
      </c>
      <c r="V43">
        <v>14</v>
      </c>
      <c r="W43">
        <v>451</v>
      </c>
      <c r="X43">
        <v>1</v>
      </c>
      <c r="AA43">
        <v>34521</v>
      </c>
      <c r="AC43">
        <v>345214</v>
      </c>
      <c r="AE43">
        <v>4521</v>
      </c>
      <c r="AG43" s="77">
        <v>45214</v>
      </c>
    </row>
    <row r="44" spans="1:33">
      <c r="A44" s="76">
        <v>7</v>
      </c>
      <c r="B44" s="76">
        <v>345</v>
      </c>
      <c r="C44">
        <v>34</v>
      </c>
      <c r="D44">
        <v>35</v>
      </c>
      <c r="E44">
        <v>3</v>
      </c>
      <c r="G44">
        <v>4</v>
      </c>
      <c r="H44">
        <v>5</v>
      </c>
      <c r="J44">
        <v>3452</v>
      </c>
      <c r="K44">
        <v>342</v>
      </c>
      <c r="L44">
        <v>352</v>
      </c>
      <c r="N44">
        <v>425</v>
      </c>
      <c r="O44">
        <v>42</v>
      </c>
      <c r="P44">
        <v>52</v>
      </c>
      <c r="R44">
        <v>3451</v>
      </c>
      <c r="S44">
        <v>341</v>
      </c>
      <c r="V44">
        <v>415</v>
      </c>
      <c r="W44">
        <v>41</v>
      </c>
      <c r="X44">
        <v>51</v>
      </c>
      <c r="AA44">
        <v>3421</v>
      </c>
      <c r="AC44">
        <v>34214</v>
      </c>
      <c r="AE44">
        <v>421</v>
      </c>
      <c r="AG44" s="77">
        <v>4214</v>
      </c>
    </row>
    <row r="45" spans="1:33">
      <c r="A45" s="76">
        <v>8</v>
      </c>
      <c r="B45" s="76">
        <v>2</v>
      </c>
      <c r="C45">
        <v>25</v>
      </c>
      <c r="D45">
        <v>24</v>
      </c>
      <c r="E45">
        <v>254</v>
      </c>
      <c r="G45">
        <v>253</v>
      </c>
      <c r="H45">
        <v>243</v>
      </c>
      <c r="I45">
        <v>2543</v>
      </c>
      <c r="K45">
        <v>5</v>
      </c>
      <c r="L45">
        <v>4</v>
      </c>
      <c r="N45">
        <v>3</v>
      </c>
      <c r="O45">
        <v>53</v>
      </c>
      <c r="P45">
        <v>43</v>
      </c>
      <c r="R45">
        <v>21</v>
      </c>
      <c r="S45">
        <v>251</v>
      </c>
      <c r="V45">
        <v>213</v>
      </c>
      <c r="W45">
        <v>2531</v>
      </c>
      <c r="X45">
        <v>2431</v>
      </c>
      <c r="AA45">
        <v>51</v>
      </c>
      <c r="AC45">
        <v>514</v>
      </c>
      <c r="AE45">
        <v>531</v>
      </c>
      <c r="AG45" s="77">
        <v>5314</v>
      </c>
    </row>
    <row r="46" spans="1:33">
      <c r="A46" s="76">
        <v>9</v>
      </c>
      <c r="B46" s="76">
        <v>25</v>
      </c>
      <c r="C46">
        <v>2</v>
      </c>
      <c r="D46">
        <v>254</v>
      </c>
      <c r="E46">
        <v>24</v>
      </c>
      <c r="G46">
        <v>23</v>
      </c>
      <c r="H46">
        <v>2543</v>
      </c>
      <c r="I46">
        <v>243</v>
      </c>
      <c r="J46">
        <v>5</v>
      </c>
      <c r="L46">
        <v>54</v>
      </c>
      <c r="N46">
        <v>53</v>
      </c>
      <c r="O46">
        <v>3</v>
      </c>
      <c r="P46">
        <v>543</v>
      </c>
      <c r="R46">
        <v>251</v>
      </c>
      <c r="S46">
        <v>21</v>
      </c>
      <c r="V46">
        <v>2513</v>
      </c>
      <c r="W46">
        <v>231</v>
      </c>
      <c r="X46">
        <v>25431</v>
      </c>
      <c r="AA46">
        <v>1</v>
      </c>
      <c r="AC46">
        <v>14</v>
      </c>
      <c r="AE46">
        <v>31</v>
      </c>
      <c r="AG46" s="77">
        <v>314</v>
      </c>
    </row>
    <row r="47" spans="1:33">
      <c r="A47" s="76">
        <v>10</v>
      </c>
      <c r="B47" s="76">
        <v>24</v>
      </c>
      <c r="C47">
        <v>245</v>
      </c>
      <c r="D47">
        <v>2</v>
      </c>
      <c r="E47">
        <v>25</v>
      </c>
      <c r="G47">
        <v>2453</v>
      </c>
      <c r="H47">
        <v>23</v>
      </c>
      <c r="I47">
        <v>253</v>
      </c>
      <c r="J47">
        <v>4</v>
      </c>
      <c r="K47">
        <v>45</v>
      </c>
      <c r="N47">
        <v>43</v>
      </c>
      <c r="O47">
        <v>453</v>
      </c>
      <c r="P47">
        <v>3</v>
      </c>
      <c r="R47">
        <v>241</v>
      </c>
      <c r="S47">
        <v>2451</v>
      </c>
      <c r="V47">
        <v>2413</v>
      </c>
      <c r="W47">
        <v>24531</v>
      </c>
      <c r="X47">
        <v>231</v>
      </c>
      <c r="AA47">
        <v>451</v>
      </c>
      <c r="AC47">
        <v>4514</v>
      </c>
      <c r="AE47">
        <v>4531</v>
      </c>
      <c r="AG47" s="77">
        <v>45314</v>
      </c>
    </row>
    <row r="48" spans="1:33">
      <c r="A48" s="76">
        <v>11</v>
      </c>
      <c r="B48" s="76"/>
      <c r="AG48" s="77"/>
    </row>
    <row r="49" spans="1:33">
      <c r="A49" s="76">
        <v>12</v>
      </c>
      <c r="B49" s="76">
        <v>32</v>
      </c>
      <c r="C49">
        <v>325</v>
      </c>
      <c r="D49">
        <v>324</v>
      </c>
      <c r="E49">
        <v>3254</v>
      </c>
      <c r="G49">
        <v>25</v>
      </c>
      <c r="H49">
        <v>24</v>
      </c>
      <c r="I49">
        <v>254</v>
      </c>
      <c r="J49">
        <v>3</v>
      </c>
      <c r="K49">
        <v>35</v>
      </c>
      <c r="L49">
        <v>34</v>
      </c>
      <c r="O49">
        <v>5</v>
      </c>
      <c r="P49">
        <v>4</v>
      </c>
      <c r="R49">
        <v>321</v>
      </c>
      <c r="S49">
        <v>3251</v>
      </c>
      <c r="V49">
        <v>3213</v>
      </c>
      <c r="W49">
        <v>251</v>
      </c>
      <c r="X49">
        <v>241</v>
      </c>
      <c r="AA49">
        <v>351</v>
      </c>
      <c r="AC49">
        <v>3514</v>
      </c>
      <c r="AE49">
        <v>51</v>
      </c>
      <c r="AG49" s="77">
        <v>514</v>
      </c>
    </row>
    <row r="50" spans="1:33">
      <c r="A50" s="76">
        <v>13</v>
      </c>
      <c r="B50" s="76">
        <v>235</v>
      </c>
      <c r="C50">
        <v>23</v>
      </c>
      <c r="D50">
        <v>2354</v>
      </c>
      <c r="E50">
        <v>234</v>
      </c>
      <c r="G50">
        <v>2</v>
      </c>
      <c r="H50">
        <v>245</v>
      </c>
      <c r="I50">
        <v>24</v>
      </c>
      <c r="J50">
        <v>35</v>
      </c>
      <c r="K50">
        <v>3</v>
      </c>
      <c r="L50">
        <v>354</v>
      </c>
      <c r="N50">
        <v>5</v>
      </c>
      <c r="P50">
        <v>54</v>
      </c>
      <c r="R50">
        <v>2351</v>
      </c>
      <c r="S50">
        <v>231</v>
      </c>
      <c r="V50">
        <v>215</v>
      </c>
      <c r="W50">
        <v>21</v>
      </c>
      <c r="X50">
        <v>2451</v>
      </c>
      <c r="AA50">
        <v>31</v>
      </c>
      <c r="AC50">
        <v>314</v>
      </c>
      <c r="AE50">
        <v>1</v>
      </c>
      <c r="AG50" s="77">
        <v>14</v>
      </c>
    </row>
    <row r="51" spans="1:33">
      <c r="A51" s="76">
        <v>14</v>
      </c>
      <c r="B51" s="76">
        <v>234</v>
      </c>
      <c r="C51">
        <v>2345</v>
      </c>
      <c r="D51">
        <v>23</v>
      </c>
      <c r="E51">
        <v>235</v>
      </c>
      <c r="G51">
        <v>245</v>
      </c>
      <c r="H51">
        <v>2</v>
      </c>
      <c r="I51">
        <v>25</v>
      </c>
      <c r="J51">
        <v>34</v>
      </c>
      <c r="K51">
        <v>345</v>
      </c>
      <c r="L51">
        <v>3</v>
      </c>
      <c r="N51">
        <v>4</v>
      </c>
      <c r="O51">
        <v>45</v>
      </c>
      <c r="R51">
        <v>2341</v>
      </c>
      <c r="S51">
        <v>23451</v>
      </c>
      <c r="V51">
        <v>214</v>
      </c>
      <c r="W51">
        <v>2451</v>
      </c>
      <c r="X51">
        <v>21</v>
      </c>
      <c r="AA51">
        <v>3451</v>
      </c>
      <c r="AC51">
        <v>34514</v>
      </c>
      <c r="AE51">
        <v>451</v>
      </c>
      <c r="AG51" s="77">
        <v>4514</v>
      </c>
    </row>
    <row r="52" spans="1:33">
      <c r="A52" s="76">
        <v>15</v>
      </c>
      <c r="B52" s="76"/>
      <c r="AG52" s="77"/>
    </row>
    <row r="53" spans="1:33">
      <c r="A53" s="76">
        <v>16</v>
      </c>
      <c r="B53" s="76">
        <v>1</v>
      </c>
      <c r="C53">
        <v>15</v>
      </c>
      <c r="D53">
        <v>14</v>
      </c>
      <c r="E53">
        <v>154</v>
      </c>
      <c r="G53">
        <v>153</v>
      </c>
      <c r="H53">
        <v>143</v>
      </c>
      <c r="I53">
        <v>1543</v>
      </c>
      <c r="J53">
        <v>12</v>
      </c>
      <c r="K53">
        <v>152</v>
      </c>
      <c r="L53">
        <v>142</v>
      </c>
      <c r="N53">
        <v>123</v>
      </c>
      <c r="O53">
        <v>1532</v>
      </c>
      <c r="P53">
        <v>1432</v>
      </c>
      <c r="S53">
        <v>5</v>
      </c>
      <c r="V53">
        <v>3</v>
      </c>
      <c r="W53">
        <v>53</v>
      </c>
      <c r="X53">
        <v>34</v>
      </c>
      <c r="AA53">
        <v>52</v>
      </c>
      <c r="AC53">
        <v>524</v>
      </c>
      <c r="AE53">
        <v>532</v>
      </c>
      <c r="AG53" s="77">
        <v>5324</v>
      </c>
    </row>
    <row r="54" spans="1:33">
      <c r="A54" s="76">
        <v>17</v>
      </c>
      <c r="B54" s="76">
        <v>15</v>
      </c>
      <c r="C54">
        <v>1</v>
      </c>
      <c r="D54">
        <v>154</v>
      </c>
      <c r="E54">
        <v>14</v>
      </c>
      <c r="G54">
        <v>13</v>
      </c>
      <c r="H54">
        <v>1543</v>
      </c>
      <c r="I54">
        <v>143</v>
      </c>
      <c r="J54">
        <v>152</v>
      </c>
      <c r="K54">
        <v>12</v>
      </c>
      <c r="L54">
        <v>1542</v>
      </c>
      <c r="N54">
        <v>1523</v>
      </c>
      <c r="O54">
        <v>132</v>
      </c>
      <c r="P54">
        <v>15432</v>
      </c>
      <c r="R54">
        <v>5</v>
      </c>
      <c r="V54">
        <v>53</v>
      </c>
      <c r="W54">
        <v>3</v>
      </c>
      <c r="X54">
        <v>534</v>
      </c>
      <c r="AA54">
        <v>2</v>
      </c>
      <c r="AC54">
        <v>24</v>
      </c>
      <c r="AE54">
        <v>32</v>
      </c>
      <c r="AG54" s="77">
        <v>324</v>
      </c>
    </row>
    <row r="55" spans="1:33">
      <c r="A55" s="76">
        <v>18</v>
      </c>
      <c r="B55" s="76"/>
      <c r="AG55" s="77"/>
    </row>
    <row r="56" spans="1:33">
      <c r="A56" s="76">
        <v>19</v>
      </c>
      <c r="B56" s="76"/>
      <c r="AG56" s="77"/>
    </row>
    <row r="57" spans="1:33">
      <c r="A57" s="76">
        <v>20</v>
      </c>
      <c r="B57" s="76">
        <v>31</v>
      </c>
      <c r="C57">
        <v>315</v>
      </c>
      <c r="D57">
        <v>314</v>
      </c>
      <c r="E57">
        <v>3154</v>
      </c>
      <c r="G57">
        <v>15</v>
      </c>
      <c r="H57">
        <v>14</v>
      </c>
      <c r="I57">
        <v>154</v>
      </c>
      <c r="J57">
        <v>312</v>
      </c>
      <c r="K57">
        <v>3152</v>
      </c>
      <c r="L57">
        <v>3142</v>
      </c>
      <c r="N57">
        <v>3123</v>
      </c>
      <c r="O57">
        <v>152</v>
      </c>
      <c r="P57">
        <v>142</v>
      </c>
      <c r="R57">
        <v>3</v>
      </c>
      <c r="S57">
        <v>35</v>
      </c>
      <c r="W57">
        <v>5</v>
      </c>
      <c r="X57">
        <v>4</v>
      </c>
      <c r="AA57">
        <v>352</v>
      </c>
      <c r="AC57">
        <v>3524</v>
      </c>
      <c r="AE57">
        <v>52</v>
      </c>
      <c r="AG57" s="77">
        <v>524</v>
      </c>
    </row>
    <row r="58" spans="1:33">
      <c r="A58" s="76">
        <v>21</v>
      </c>
      <c r="B58" s="76">
        <v>135</v>
      </c>
      <c r="C58">
        <v>13</v>
      </c>
      <c r="D58">
        <v>1354</v>
      </c>
      <c r="E58">
        <v>134</v>
      </c>
      <c r="G58">
        <v>1</v>
      </c>
      <c r="H58">
        <v>145</v>
      </c>
      <c r="I58">
        <v>14</v>
      </c>
      <c r="J58">
        <v>1352</v>
      </c>
      <c r="K58">
        <v>132</v>
      </c>
      <c r="L58">
        <v>13542</v>
      </c>
      <c r="N58">
        <v>125</v>
      </c>
      <c r="O58">
        <v>12</v>
      </c>
      <c r="P58">
        <v>1452</v>
      </c>
      <c r="R58">
        <v>35</v>
      </c>
      <c r="S58">
        <v>3</v>
      </c>
      <c r="V58">
        <v>5</v>
      </c>
      <c r="X58">
        <v>54</v>
      </c>
      <c r="AA58">
        <v>32</v>
      </c>
      <c r="AC58">
        <v>324</v>
      </c>
      <c r="AE58">
        <v>2</v>
      </c>
      <c r="AG58" s="77">
        <v>24</v>
      </c>
    </row>
    <row r="59" spans="1:33">
      <c r="A59" s="76">
        <v>22</v>
      </c>
      <c r="B59" s="76">
        <v>134</v>
      </c>
      <c r="C59">
        <v>1345</v>
      </c>
      <c r="D59">
        <v>13</v>
      </c>
      <c r="E59">
        <v>135</v>
      </c>
      <c r="G59">
        <v>145</v>
      </c>
      <c r="H59">
        <v>1</v>
      </c>
      <c r="I59">
        <v>15</v>
      </c>
      <c r="J59">
        <v>1342</v>
      </c>
      <c r="K59">
        <v>13452</v>
      </c>
      <c r="L59">
        <v>132</v>
      </c>
      <c r="N59">
        <v>124</v>
      </c>
      <c r="O59">
        <v>1452</v>
      </c>
      <c r="P59">
        <v>12</v>
      </c>
      <c r="R59">
        <v>43</v>
      </c>
      <c r="S59">
        <v>435</v>
      </c>
      <c r="V59">
        <v>4</v>
      </c>
      <c r="W59">
        <v>45</v>
      </c>
      <c r="AA59">
        <v>4352</v>
      </c>
      <c r="AC59">
        <v>43524</v>
      </c>
      <c r="AE59">
        <v>452</v>
      </c>
      <c r="AG59" s="77">
        <v>4524</v>
      </c>
    </row>
    <row r="60" spans="1:33">
      <c r="A60" s="76">
        <v>23</v>
      </c>
      <c r="B60" s="76"/>
      <c r="AG60" s="77"/>
    </row>
    <row r="61" spans="1:33">
      <c r="A61" s="76">
        <v>24</v>
      </c>
      <c r="B61" s="76"/>
      <c r="AG61" s="77"/>
    </row>
    <row r="62" spans="1:33">
      <c r="A62" s="76">
        <v>25</v>
      </c>
      <c r="B62" s="76">
        <v>125</v>
      </c>
      <c r="C62">
        <v>12</v>
      </c>
      <c r="D62">
        <v>1254</v>
      </c>
      <c r="E62">
        <v>124</v>
      </c>
      <c r="G62">
        <v>123</v>
      </c>
      <c r="H62">
        <v>12543</v>
      </c>
      <c r="I62">
        <v>1243</v>
      </c>
      <c r="J62">
        <v>15</v>
      </c>
      <c r="K62">
        <v>1</v>
      </c>
      <c r="L62">
        <v>154</v>
      </c>
      <c r="N62">
        <v>153</v>
      </c>
      <c r="O62">
        <v>13</v>
      </c>
      <c r="P62">
        <v>1543</v>
      </c>
      <c r="R62">
        <v>25</v>
      </c>
      <c r="S62">
        <v>2</v>
      </c>
      <c r="V62">
        <v>253</v>
      </c>
      <c r="W62">
        <v>23</v>
      </c>
      <c r="X62">
        <v>2534</v>
      </c>
      <c r="AC62">
        <v>4</v>
      </c>
      <c r="AE62">
        <v>3</v>
      </c>
      <c r="AG62" s="77">
        <v>43</v>
      </c>
    </row>
    <row r="63" spans="1:33">
      <c r="A63" s="76">
        <v>26</v>
      </c>
      <c r="B63" s="76"/>
      <c r="AG63" s="77"/>
    </row>
    <row r="64" spans="1:33">
      <c r="A64" s="76">
        <v>27</v>
      </c>
      <c r="B64" s="76">
        <v>4125</v>
      </c>
      <c r="C64">
        <v>412</v>
      </c>
      <c r="D64">
        <v>41254</v>
      </c>
      <c r="E64">
        <v>4124</v>
      </c>
      <c r="G64">
        <v>4123</v>
      </c>
      <c r="H64">
        <v>412543</v>
      </c>
      <c r="I64">
        <v>41243</v>
      </c>
      <c r="J64">
        <v>415</v>
      </c>
      <c r="K64">
        <v>41</v>
      </c>
      <c r="L64">
        <v>4154</v>
      </c>
      <c r="N64">
        <v>4153</v>
      </c>
      <c r="O64">
        <v>413</v>
      </c>
      <c r="P64">
        <v>41543</v>
      </c>
      <c r="R64">
        <v>425</v>
      </c>
      <c r="S64">
        <v>42</v>
      </c>
      <c r="V64">
        <v>4253</v>
      </c>
      <c r="W64">
        <v>423</v>
      </c>
      <c r="X64">
        <v>42534</v>
      </c>
      <c r="AA64">
        <v>4</v>
      </c>
      <c r="AE64">
        <v>43</v>
      </c>
      <c r="AG64" s="77">
        <v>3</v>
      </c>
    </row>
    <row r="65" spans="1:33">
      <c r="A65" s="76">
        <v>28</v>
      </c>
      <c r="B65" s="76"/>
      <c r="AG65" s="77"/>
    </row>
    <row r="66" spans="1:33">
      <c r="A66" s="76">
        <v>29</v>
      </c>
      <c r="B66" s="76">
        <v>1235</v>
      </c>
      <c r="C66">
        <v>123</v>
      </c>
      <c r="D66">
        <v>12354</v>
      </c>
      <c r="E66">
        <v>1234</v>
      </c>
      <c r="G66">
        <v>12</v>
      </c>
      <c r="H66">
        <v>1245</v>
      </c>
      <c r="I66">
        <v>124</v>
      </c>
      <c r="J66">
        <v>135</v>
      </c>
      <c r="K66">
        <v>13</v>
      </c>
      <c r="L66">
        <v>1354</v>
      </c>
      <c r="N66">
        <v>15</v>
      </c>
      <c r="O66">
        <v>1</v>
      </c>
      <c r="P66">
        <v>154</v>
      </c>
      <c r="R66">
        <v>235</v>
      </c>
      <c r="S66">
        <v>23</v>
      </c>
      <c r="V66">
        <v>25</v>
      </c>
      <c r="W66">
        <v>2</v>
      </c>
      <c r="X66">
        <v>254</v>
      </c>
      <c r="AA66">
        <v>3</v>
      </c>
      <c r="AC66">
        <v>34</v>
      </c>
      <c r="AG66" s="77">
        <v>4</v>
      </c>
    </row>
    <row r="67" spans="1:33">
      <c r="A67" s="76">
        <v>30</v>
      </c>
      <c r="B67" s="76"/>
      <c r="AG67" s="77"/>
    </row>
    <row r="68" spans="1:33" ht="16.149999999999999" thickBot="1">
      <c r="A68" s="78">
        <v>31</v>
      </c>
      <c r="B68" s="78">
        <v>41235</v>
      </c>
      <c r="C68" s="79">
        <v>4123</v>
      </c>
      <c r="D68" s="79">
        <v>412354</v>
      </c>
      <c r="E68" s="79">
        <v>41234</v>
      </c>
      <c r="F68" s="79"/>
      <c r="G68" s="79">
        <v>412</v>
      </c>
      <c r="H68" s="79">
        <v>41245</v>
      </c>
      <c r="I68" s="79">
        <v>4124</v>
      </c>
      <c r="J68" s="79">
        <v>4135</v>
      </c>
      <c r="K68" s="79">
        <v>413</v>
      </c>
      <c r="L68" s="79">
        <v>41354</v>
      </c>
      <c r="M68" s="79"/>
      <c r="N68" s="79">
        <v>415</v>
      </c>
      <c r="O68" s="79">
        <v>41</v>
      </c>
      <c r="P68" s="79">
        <v>4154</v>
      </c>
      <c r="Q68" s="79"/>
      <c r="R68" s="79">
        <v>4235</v>
      </c>
      <c r="S68" s="79">
        <v>423</v>
      </c>
      <c r="T68" s="79"/>
      <c r="U68" s="79"/>
      <c r="V68" s="79">
        <v>425</v>
      </c>
      <c r="W68" s="79">
        <v>42</v>
      </c>
      <c r="X68" s="79">
        <v>4254</v>
      </c>
      <c r="Y68" s="79"/>
      <c r="Z68" s="79"/>
      <c r="AA68" s="79">
        <v>34</v>
      </c>
      <c r="AB68" s="79"/>
      <c r="AC68" s="79">
        <v>3</v>
      </c>
      <c r="AD68" s="79"/>
      <c r="AE68" s="79">
        <v>4</v>
      </c>
      <c r="AF68" s="79"/>
      <c r="AG68" s="80"/>
    </row>
  </sheetData>
  <mergeCells count="1">
    <mergeCell ref="AI12:AJ12"/>
  </mergeCells>
  <conditionalFormatting sqref="B2:AG33">
    <cfRule type="cellIs" dxfId="16" priority="2" operator="equal">
      <formula>-1</formula>
    </cfRule>
  </conditionalFormatting>
  <conditionalFormatting sqref="B37:AG68">
    <cfRule type="cellIs" dxfId="15" priority="1" operator="equal">
      <formula>-1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odule___22.Build_0_inf">
                <anchor moveWithCells="1" sizeWithCells="1">
                  <from>
                    <xdr:col>34</xdr:col>
                    <xdr:colOff>14288</xdr:colOff>
                    <xdr:row>12</xdr:row>
                    <xdr:rowOff>28575</xdr:rowOff>
                  </from>
                  <to>
                    <xdr:col>35</xdr:col>
                    <xdr:colOff>676275</xdr:colOff>
                    <xdr:row>14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Module___22.Clear">
                <anchor moveWithCells="1" sizeWithCells="1">
                  <from>
                    <xdr:col>34</xdr:col>
                    <xdr:colOff>66675</xdr:colOff>
                    <xdr:row>5</xdr:row>
                    <xdr:rowOff>14288</xdr:rowOff>
                  </from>
                  <to>
                    <xdr:col>35</xdr:col>
                    <xdr:colOff>528638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Module___22.Build_1">
                <anchor moveWithCells="1" sizeWithCells="1">
                  <from>
                    <xdr:col>34</xdr:col>
                    <xdr:colOff>4763</xdr:colOff>
                    <xdr:row>14</xdr:row>
                    <xdr:rowOff>152400</xdr:rowOff>
                  </from>
                  <to>
                    <xdr:col>35</xdr:col>
                    <xdr:colOff>666750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Module___22.Build_2">
                <anchor moveWithCells="1" sizeWithCells="1">
                  <from>
                    <xdr:col>34</xdr:col>
                    <xdr:colOff>9525</xdr:colOff>
                    <xdr:row>17</xdr:row>
                    <xdr:rowOff>66675</xdr:rowOff>
                  </from>
                  <to>
                    <xdr:col>35</xdr:col>
                    <xdr:colOff>671513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Module___22.Build_all">
                <anchor moveWithCells="1" sizeWithCells="1">
                  <from>
                    <xdr:col>34</xdr:col>
                    <xdr:colOff>71438</xdr:colOff>
                    <xdr:row>1</xdr:row>
                    <xdr:rowOff>85725</xdr:rowOff>
                  </from>
                  <to>
                    <xdr:col>35</xdr:col>
                    <xdr:colOff>533400</xdr:colOff>
                    <xdr:row>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Module___22.Build_3">
                <anchor moveWithCells="1">
                  <from>
                    <xdr:col>34</xdr:col>
                    <xdr:colOff>57150</xdr:colOff>
                    <xdr:row>20</xdr:row>
                    <xdr:rowOff>28575</xdr:rowOff>
                  </from>
                  <to>
                    <xdr:col>34</xdr:col>
                    <xdr:colOff>638175</xdr:colOff>
                    <xdr:row>21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Module___22.Build_4">
                <anchor moveWithCells="1">
                  <from>
                    <xdr:col>35</xdr:col>
                    <xdr:colOff>38100</xdr:colOff>
                    <xdr:row>20</xdr:row>
                    <xdr:rowOff>19050</xdr:rowOff>
                  </from>
                  <to>
                    <xdr:col>35</xdr:col>
                    <xdr:colOff>619125</xdr:colOff>
                    <xdr:row>21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Module___22.Build_5">
                <anchor moveWithCells="1">
                  <from>
                    <xdr:col>34</xdr:col>
                    <xdr:colOff>52388</xdr:colOff>
                    <xdr:row>22</xdr:row>
                    <xdr:rowOff>4763</xdr:rowOff>
                  </from>
                  <to>
                    <xdr:col>34</xdr:col>
                    <xdr:colOff>633413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Module___22.Build_6">
                <anchor moveWithCells="1">
                  <from>
                    <xdr:col>35</xdr:col>
                    <xdr:colOff>28575</xdr:colOff>
                    <xdr:row>22</xdr:row>
                    <xdr:rowOff>14288</xdr:rowOff>
                  </from>
                  <to>
                    <xdr:col>35</xdr:col>
                    <xdr:colOff>609600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4">
    <tabColor theme="0" tint="-0.499984740745262"/>
  </sheetPr>
  <dimension ref="A1:V31"/>
  <sheetViews>
    <sheetView workbookViewId="0">
      <selection activeCell="N3" sqref="N3"/>
    </sheetView>
  </sheetViews>
  <sheetFormatPr defaultRowHeight="15.75"/>
  <cols>
    <col min="2" max="2" width="9.5" bestFit="1" customWidth="1"/>
    <col min="9" max="9" width="9.5" bestFit="1" customWidth="1"/>
    <col min="16" max="16" width="9.5" bestFit="1" customWidth="1"/>
  </cols>
  <sheetData>
    <row r="1" spans="1:21">
      <c r="I1" s="91"/>
      <c r="J1" s="91"/>
      <c r="K1" s="91"/>
      <c r="L1" s="91"/>
      <c r="M1" s="91"/>
    </row>
    <row r="2" spans="1:21">
      <c r="I2">
        <v>1</v>
      </c>
      <c r="J2">
        <v>2</v>
      </c>
      <c r="K2">
        <v>3</v>
      </c>
      <c r="L2">
        <v>4</v>
      </c>
      <c r="M2">
        <v>5</v>
      </c>
      <c r="O2" t="s">
        <v>68</v>
      </c>
    </row>
    <row r="3" spans="1:21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I3" s="8"/>
      <c r="J3" s="8"/>
      <c r="K3" s="8"/>
      <c r="L3" s="8"/>
      <c r="M3" s="8"/>
      <c r="P3" s="14" t="s">
        <v>0</v>
      </c>
      <c r="Q3" s="14" t="s">
        <v>1</v>
      </c>
      <c r="R3" s="14" t="s">
        <v>2</v>
      </c>
      <c r="S3" s="14" t="s">
        <v>3</v>
      </c>
      <c r="T3" s="14" t="s">
        <v>4</v>
      </c>
      <c r="U3" s="15"/>
    </row>
    <row r="4" spans="1:21"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I4" s="8"/>
      <c r="J4" s="8"/>
      <c r="K4" s="8"/>
      <c r="L4" s="8"/>
      <c r="M4" s="8"/>
      <c r="P4" s="14" t="s">
        <v>5</v>
      </c>
      <c r="Q4" s="14" t="s">
        <v>6</v>
      </c>
      <c r="R4" s="14" t="s">
        <v>7</v>
      </c>
      <c r="S4" s="14" t="s">
        <v>8</v>
      </c>
      <c r="T4" s="14" t="s">
        <v>9</v>
      </c>
      <c r="U4" s="15"/>
    </row>
    <row r="5" spans="1:21">
      <c r="B5" s="7" t="s">
        <v>10</v>
      </c>
      <c r="C5" s="7" t="s">
        <v>11</v>
      </c>
      <c r="D5" s="7" t="s">
        <v>12</v>
      </c>
      <c r="E5" s="7" t="s">
        <v>13</v>
      </c>
      <c r="F5" s="7" t="s">
        <v>14</v>
      </c>
      <c r="I5" s="8"/>
      <c r="J5" s="8"/>
      <c r="K5" s="8"/>
      <c r="L5" s="8"/>
      <c r="M5" s="8"/>
      <c r="P5" s="14" t="s">
        <v>10</v>
      </c>
      <c r="Q5" s="14" t="s">
        <v>11</v>
      </c>
      <c r="R5" s="14" t="s">
        <v>12</v>
      </c>
      <c r="S5" s="14" t="s">
        <v>13</v>
      </c>
      <c r="T5" s="14" t="s">
        <v>14</v>
      </c>
      <c r="U5" s="15"/>
    </row>
    <row r="6" spans="1:21">
      <c r="B6" s="7" t="s">
        <v>15</v>
      </c>
      <c r="C6" s="7" t="s">
        <v>16</v>
      </c>
      <c r="D6" s="7" t="s">
        <v>17</v>
      </c>
      <c r="E6" s="7" t="s">
        <v>18</v>
      </c>
      <c r="F6" s="7" t="s">
        <v>19</v>
      </c>
      <c r="I6" s="8"/>
      <c r="J6" s="8"/>
      <c r="K6" s="8"/>
      <c r="L6" s="8"/>
      <c r="M6" s="8"/>
      <c r="P6" s="14" t="s">
        <v>15</v>
      </c>
      <c r="Q6" s="14" t="s">
        <v>16</v>
      </c>
      <c r="R6" s="14" t="s">
        <v>17</v>
      </c>
      <c r="S6" s="14" t="s">
        <v>18</v>
      </c>
      <c r="T6" s="14" t="s">
        <v>19</v>
      </c>
      <c r="U6" s="15"/>
    </row>
    <row r="7" spans="1:21">
      <c r="B7" s="7" t="s">
        <v>20</v>
      </c>
      <c r="C7" s="7" t="s">
        <v>21</v>
      </c>
      <c r="D7" s="7" t="s">
        <v>22</v>
      </c>
      <c r="E7" s="7" t="s">
        <v>23</v>
      </c>
      <c r="F7" s="7" t="s">
        <v>24</v>
      </c>
      <c r="I7" s="8"/>
      <c r="J7" s="8"/>
      <c r="K7" s="8"/>
      <c r="L7" s="8"/>
      <c r="M7" s="8"/>
      <c r="P7" s="14" t="s">
        <v>20</v>
      </c>
      <c r="Q7" s="14" t="s">
        <v>21</v>
      </c>
      <c r="R7" s="14" t="s">
        <v>22</v>
      </c>
      <c r="S7" s="14" t="s">
        <v>23</v>
      </c>
      <c r="T7" s="14" t="s">
        <v>24</v>
      </c>
      <c r="U7" s="15"/>
    </row>
    <row r="8" spans="1:21">
      <c r="B8" s="7" t="s">
        <v>25</v>
      </c>
      <c r="C8" s="7" t="s">
        <v>26</v>
      </c>
      <c r="D8" s="7" t="s">
        <v>27</v>
      </c>
      <c r="E8" s="7" t="s">
        <v>28</v>
      </c>
      <c r="F8" s="7" t="s">
        <v>29</v>
      </c>
      <c r="I8" s="8"/>
      <c r="J8" s="8"/>
      <c r="K8" s="8"/>
      <c r="L8" s="8"/>
      <c r="M8" s="8"/>
      <c r="P8" s="14" t="s">
        <v>25</v>
      </c>
      <c r="Q8" s="14" t="s">
        <v>26</v>
      </c>
      <c r="R8" s="14" t="s">
        <v>27</v>
      </c>
      <c r="S8" s="14" t="s">
        <v>28</v>
      </c>
      <c r="T8" s="14" t="s">
        <v>29</v>
      </c>
      <c r="U8" s="15"/>
    </row>
    <row r="9" spans="1:21">
      <c r="B9" s="7" t="s">
        <v>30</v>
      </c>
      <c r="C9" s="7" t="s">
        <v>31</v>
      </c>
      <c r="D9" s="7" t="s">
        <v>32</v>
      </c>
      <c r="E9" s="7" t="s">
        <v>33</v>
      </c>
      <c r="F9" s="7" t="s">
        <v>34</v>
      </c>
      <c r="I9" s="8"/>
      <c r="J9" s="8"/>
      <c r="K9" s="8"/>
      <c r="L9" s="8"/>
      <c r="M9" s="8"/>
      <c r="P9" s="14" t="s">
        <v>30</v>
      </c>
      <c r="Q9" s="14" t="s">
        <v>31</v>
      </c>
      <c r="R9" s="14" t="s">
        <v>32</v>
      </c>
      <c r="S9" s="14" t="s">
        <v>33</v>
      </c>
      <c r="T9" s="14" t="s">
        <v>34</v>
      </c>
    </row>
    <row r="11" spans="1:21">
      <c r="A11">
        <v>1</v>
      </c>
      <c r="H11">
        <v>2</v>
      </c>
      <c r="O11">
        <v>3</v>
      </c>
    </row>
    <row r="12" spans="1:21">
      <c r="B12" s="7" t="b">
        <f>IF(COUNTIF($I$3:$I$9,MID(B3,$A$11,1))&gt;0,TRUE,FALSE)</f>
        <v>0</v>
      </c>
      <c r="C12" s="7" t="b">
        <f>IF(COUNTIF($I$3:$I$9,MID(C3,$A$11,1))&gt;0,TRUE,FALSE)</f>
        <v>0</v>
      </c>
      <c r="D12" s="7" t="b">
        <f>IF(COUNTIF($I$3:$I$9,MID(D3,$A$11,1))&gt;0,TRUE,FALSE)</f>
        <v>0</v>
      </c>
      <c r="E12" s="7" t="b">
        <f>IF(COUNTIF($I$3:$I$9,MID(E3,$A$11,1))&gt;0,TRUE,FALSE)</f>
        <v>0</v>
      </c>
      <c r="F12" s="7" t="b">
        <f>IF(COUNTIF($I$3:$I$9,MID(F3,$A$11,1))&gt;0,TRUE,FALSE)</f>
        <v>0</v>
      </c>
      <c r="I12" s="7" t="b">
        <f t="shared" ref="I12:I18" si="0">IF(COUNTIF($J$3:$J$9,MID(B3,$H$11,1))&gt;0,TRUE,FALSE)</f>
        <v>0</v>
      </c>
      <c r="J12" s="7" t="b">
        <f t="shared" ref="J12:M18" si="1">IF(COUNTIF($J$3:$J$9,MID(C3,$H$11,1))&gt;0,TRUE,FALSE)</f>
        <v>0</v>
      </c>
      <c r="K12" s="7" t="b">
        <f t="shared" si="1"/>
        <v>0</v>
      </c>
      <c r="L12" s="7" t="b">
        <f t="shared" si="1"/>
        <v>0</v>
      </c>
      <c r="M12" s="7" t="b">
        <f t="shared" si="1"/>
        <v>0</v>
      </c>
      <c r="P12" s="7" t="b">
        <f>IF(COUNTIF($K$3:$K$9,MID(B3,$O$11,1))&gt;0,TRUE,FALSE)</f>
        <v>0</v>
      </c>
      <c r="Q12" s="7" t="b">
        <f t="shared" ref="Q12:T18" si="2">IF(COUNTIF($K$3:$K$9,MID(C3,$O$11,1))&gt;0,TRUE,FALSE)</f>
        <v>0</v>
      </c>
      <c r="R12" s="7" t="b">
        <f t="shared" si="2"/>
        <v>0</v>
      </c>
      <c r="S12" s="7" t="b">
        <f t="shared" si="2"/>
        <v>0</v>
      </c>
      <c r="T12" s="7" t="b">
        <f t="shared" si="2"/>
        <v>0</v>
      </c>
    </row>
    <row r="13" spans="1:21">
      <c r="B13" s="7" t="b">
        <f t="shared" ref="B13:F18" si="3">IF(COUNTIF($I$3:$I$9,MID(B4,$A$11,1))&gt;0,TRUE,FALSE)</f>
        <v>0</v>
      </c>
      <c r="C13" s="7" t="b">
        <f t="shared" si="3"/>
        <v>0</v>
      </c>
      <c r="D13" s="7" t="b">
        <f t="shared" si="3"/>
        <v>0</v>
      </c>
      <c r="E13" s="7" t="b">
        <f t="shared" si="3"/>
        <v>0</v>
      </c>
      <c r="F13" s="7" t="b">
        <f t="shared" si="3"/>
        <v>0</v>
      </c>
      <c r="I13" s="7" t="b">
        <f t="shared" si="0"/>
        <v>0</v>
      </c>
      <c r="J13" s="7" t="b">
        <f t="shared" si="1"/>
        <v>0</v>
      </c>
      <c r="K13" s="7" t="b">
        <f t="shared" si="1"/>
        <v>0</v>
      </c>
      <c r="L13" s="7" t="b">
        <f t="shared" si="1"/>
        <v>0</v>
      </c>
      <c r="M13" s="7" t="b">
        <f t="shared" si="1"/>
        <v>0</v>
      </c>
      <c r="P13" s="7" t="b">
        <f t="shared" ref="P13:P18" si="4">IF(COUNTIF($K$3:$K$9,MID(B4,$O$11,1))&gt;0,TRUE,FALSE)</f>
        <v>0</v>
      </c>
      <c r="Q13" s="7" t="b">
        <f t="shared" si="2"/>
        <v>0</v>
      </c>
      <c r="R13" s="7" t="b">
        <f t="shared" si="2"/>
        <v>0</v>
      </c>
      <c r="S13" s="7" t="b">
        <f t="shared" si="2"/>
        <v>0</v>
      </c>
      <c r="T13" s="7" t="b">
        <f t="shared" si="2"/>
        <v>0</v>
      </c>
    </row>
    <row r="14" spans="1:21">
      <c r="B14" s="7" t="b">
        <f t="shared" si="3"/>
        <v>0</v>
      </c>
      <c r="C14" s="7" t="b">
        <f t="shared" si="3"/>
        <v>0</v>
      </c>
      <c r="D14" s="7" t="b">
        <f t="shared" si="3"/>
        <v>0</v>
      </c>
      <c r="E14" s="7" t="b">
        <f t="shared" si="3"/>
        <v>0</v>
      </c>
      <c r="F14" s="7" t="b">
        <f t="shared" si="3"/>
        <v>0</v>
      </c>
      <c r="I14" s="7" t="b">
        <f t="shared" si="0"/>
        <v>0</v>
      </c>
      <c r="J14" s="7" t="b">
        <f t="shared" si="1"/>
        <v>0</v>
      </c>
      <c r="K14" s="7" t="b">
        <f t="shared" si="1"/>
        <v>0</v>
      </c>
      <c r="L14" s="7" t="b">
        <f t="shared" si="1"/>
        <v>0</v>
      </c>
      <c r="M14" s="7" t="b">
        <f t="shared" si="1"/>
        <v>0</v>
      </c>
      <c r="P14" s="7" t="b">
        <f t="shared" si="4"/>
        <v>0</v>
      </c>
      <c r="Q14" s="7" t="b">
        <f t="shared" si="2"/>
        <v>0</v>
      </c>
      <c r="R14" s="7" t="b">
        <f t="shared" si="2"/>
        <v>0</v>
      </c>
      <c r="S14" s="7" t="b">
        <f t="shared" si="2"/>
        <v>0</v>
      </c>
      <c r="T14" s="7" t="b">
        <f t="shared" si="2"/>
        <v>0</v>
      </c>
    </row>
    <row r="15" spans="1:21">
      <c r="B15" s="7" t="b">
        <f t="shared" si="3"/>
        <v>0</v>
      </c>
      <c r="C15" s="7" t="b">
        <f t="shared" si="3"/>
        <v>0</v>
      </c>
      <c r="D15" s="7" t="b">
        <f t="shared" si="3"/>
        <v>0</v>
      </c>
      <c r="E15" s="7" t="b">
        <f t="shared" si="3"/>
        <v>0</v>
      </c>
      <c r="F15" s="7" t="b">
        <f t="shared" si="3"/>
        <v>0</v>
      </c>
      <c r="I15" s="7" t="b">
        <f t="shared" si="0"/>
        <v>0</v>
      </c>
      <c r="J15" s="7" t="b">
        <f t="shared" si="1"/>
        <v>0</v>
      </c>
      <c r="K15" s="7" t="b">
        <f t="shared" si="1"/>
        <v>0</v>
      </c>
      <c r="L15" s="7" t="b">
        <f t="shared" si="1"/>
        <v>0</v>
      </c>
      <c r="M15" s="7" t="b">
        <f t="shared" si="1"/>
        <v>0</v>
      </c>
      <c r="P15" s="7" t="b">
        <f t="shared" si="4"/>
        <v>0</v>
      </c>
      <c r="Q15" s="7" t="b">
        <f t="shared" si="2"/>
        <v>0</v>
      </c>
      <c r="R15" s="7" t="b">
        <f t="shared" si="2"/>
        <v>0</v>
      </c>
      <c r="S15" s="7" t="b">
        <f t="shared" si="2"/>
        <v>0</v>
      </c>
      <c r="T15" s="7" t="b">
        <f t="shared" si="2"/>
        <v>0</v>
      </c>
    </row>
    <row r="16" spans="1:21">
      <c r="B16" s="7" t="b">
        <f t="shared" si="3"/>
        <v>0</v>
      </c>
      <c r="C16" s="7" t="b">
        <f t="shared" si="3"/>
        <v>0</v>
      </c>
      <c r="D16" s="7" t="b">
        <f t="shared" si="3"/>
        <v>0</v>
      </c>
      <c r="E16" s="7" t="b">
        <f t="shared" si="3"/>
        <v>0</v>
      </c>
      <c r="F16" s="7" t="b">
        <f t="shared" si="3"/>
        <v>0</v>
      </c>
      <c r="I16" s="7" t="b">
        <f t="shared" si="0"/>
        <v>0</v>
      </c>
      <c r="J16" s="7" t="b">
        <f t="shared" si="1"/>
        <v>0</v>
      </c>
      <c r="K16" s="7" t="b">
        <f t="shared" si="1"/>
        <v>0</v>
      </c>
      <c r="L16" s="7" t="b">
        <f t="shared" si="1"/>
        <v>0</v>
      </c>
      <c r="M16" s="7" t="b">
        <f t="shared" si="1"/>
        <v>0</v>
      </c>
      <c r="P16" s="7" t="b">
        <f t="shared" si="4"/>
        <v>0</v>
      </c>
      <c r="Q16" s="7" t="b">
        <f t="shared" si="2"/>
        <v>0</v>
      </c>
      <c r="R16" s="7" t="b">
        <f t="shared" si="2"/>
        <v>0</v>
      </c>
      <c r="S16" s="7" t="b">
        <f t="shared" si="2"/>
        <v>0</v>
      </c>
      <c r="T16" s="7" t="b">
        <f t="shared" si="2"/>
        <v>0</v>
      </c>
    </row>
    <row r="17" spans="1:22">
      <c r="B17" s="7" t="b">
        <f t="shared" si="3"/>
        <v>0</v>
      </c>
      <c r="C17" s="7" t="b">
        <f t="shared" si="3"/>
        <v>0</v>
      </c>
      <c r="D17" s="7" t="b">
        <f t="shared" si="3"/>
        <v>0</v>
      </c>
      <c r="E17" s="7" t="b">
        <f t="shared" si="3"/>
        <v>0</v>
      </c>
      <c r="F17" s="7" t="b">
        <f t="shared" si="3"/>
        <v>0</v>
      </c>
      <c r="I17" s="7" t="b">
        <f t="shared" si="0"/>
        <v>0</v>
      </c>
      <c r="J17" s="7" t="b">
        <f t="shared" si="1"/>
        <v>0</v>
      </c>
      <c r="K17" s="7" t="b">
        <f t="shared" si="1"/>
        <v>0</v>
      </c>
      <c r="L17" s="7" t="b">
        <f t="shared" si="1"/>
        <v>0</v>
      </c>
      <c r="M17" s="7" t="b">
        <f t="shared" si="1"/>
        <v>0</v>
      </c>
      <c r="P17" s="7" t="b">
        <f t="shared" si="4"/>
        <v>0</v>
      </c>
      <c r="Q17" s="7" t="b">
        <f t="shared" si="2"/>
        <v>0</v>
      </c>
      <c r="R17" s="7" t="b">
        <f t="shared" si="2"/>
        <v>0</v>
      </c>
      <c r="S17" s="7" t="b">
        <f t="shared" si="2"/>
        <v>0</v>
      </c>
      <c r="T17" s="7" t="b">
        <f t="shared" si="2"/>
        <v>0</v>
      </c>
    </row>
    <row r="18" spans="1:22">
      <c r="B18" s="7" t="b">
        <f t="shared" si="3"/>
        <v>0</v>
      </c>
      <c r="C18" s="7" t="b">
        <f t="shared" si="3"/>
        <v>0</v>
      </c>
      <c r="D18" s="7" t="b">
        <f t="shared" si="3"/>
        <v>0</v>
      </c>
      <c r="E18" s="7" t="b">
        <f t="shared" si="3"/>
        <v>0</v>
      </c>
      <c r="F18" s="7" t="b">
        <f t="shared" si="3"/>
        <v>0</v>
      </c>
      <c r="I18" s="7" t="b">
        <f t="shared" si="0"/>
        <v>0</v>
      </c>
      <c r="J18" s="7" t="b">
        <f t="shared" si="1"/>
        <v>0</v>
      </c>
      <c r="K18" s="7" t="b">
        <f t="shared" si="1"/>
        <v>0</v>
      </c>
      <c r="L18" s="7" t="b">
        <f t="shared" si="1"/>
        <v>0</v>
      </c>
      <c r="M18" s="7" t="b">
        <f t="shared" si="1"/>
        <v>0</v>
      </c>
      <c r="P18" s="7" t="b">
        <f t="shared" si="4"/>
        <v>0</v>
      </c>
      <c r="Q18" s="7" t="b">
        <f t="shared" si="2"/>
        <v>0</v>
      </c>
      <c r="R18" s="7" t="b">
        <f t="shared" si="2"/>
        <v>0</v>
      </c>
      <c r="S18" s="7" t="b">
        <f t="shared" si="2"/>
        <v>0</v>
      </c>
      <c r="T18" s="7" t="b">
        <f t="shared" si="2"/>
        <v>0</v>
      </c>
    </row>
    <row r="20" spans="1:22">
      <c r="A20">
        <v>4</v>
      </c>
      <c r="H20">
        <v>5</v>
      </c>
      <c r="O20" t="s">
        <v>65</v>
      </c>
    </row>
    <row r="21" spans="1:22">
      <c r="B21" s="7" t="b">
        <f>IF(COUNTIF($L$3:$L$9,MID(B3,$A$20,1))&gt;0,TRUE,FALSE)</f>
        <v>0</v>
      </c>
      <c r="C21" s="7" t="b">
        <f>IF(COUNTIF($L$3:$L$9,MID(C3,$A$20,1))&gt;0,TRUE,FALSE)</f>
        <v>0</v>
      </c>
      <c r="D21" s="7" t="b">
        <f>IF(COUNTIF($L$3:$L$9,MID(D3,$A$20,1))&gt;0,TRUE,FALSE)</f>
        <v>0</v>
      </c>
      <c r="E21" s="7" t="b">
        <f>IF(COUNTIF($L$3:$L$9,MID(E3,$A$20,1))&gt;0,TRUE,FALSE)</f>
        <v>0</v>
      </c>
      <c r="F21" s="7" t="b">
        <f>IF(COUNTIF($L$3:$L$9,MID(F3,$A$20,1))&gt;0,TRUE,FALSE)</f>
        <v>0</v>
      </c>
      <c r="I21" s="7" t="b">
        <f>IF(COUNTIF($M$3:$M$9,MID(B3,$H$20,1))&gt;0,TRUE,FALSE)</f>
        <v>0</v>
      </c>
      <c r="J21" s="7" t="b">
        <f t="shared" ref="J21:M27" si="5">IF(COUNTIF($M$3:$M$9,MID(C3,$H$20,1))&gt;0,TRUE,FALSE)</f>
        <v>0</v>
      </c>
      <c r="K21" s="7" t="b">
        <f t="shared" si="5"/>
        <v>0</v>
      </c>
      <c r="L21" s="7" t="b">
        <f t="shared" si="5"/>
        <v>0</v>
      </c>
      <c r="M21" s="7" t="b">
        <f t="shared" si="5"/>
        <v>0</v>
      </c>
      <c r="P21" s="7" t="b">
        <f t="shared" ref="P21:P27" si="6">AND(B12,I12,P12,B21,I21)</f>
        <v>0</v>
      </c>
      <c r="Q21" s="7" t="b">
        <f t="shared" ref="Q21:T27" si="7">AND(C12,J12,Q12,C21,J21)</f>
        <v>0</v>
      </c>
      <c r="R21" s="7" t="b">
        <f t="shared" si="7"/>
        <v>0</v>
      </c>
      <c r="S21" s="7" t="b">
        <f>AND(E12,L12,S12,E21,L21)</f>
        <v>0</v>
      </c>
      <c r="T21" s="7" t="b">
        <f t="shared" si="7"/>
        <v>0</v>
      </c>
    </row>
    <row r="22" spans="1:22">
      <c r="B22" s="7" t="b">
        <f t="shared" ref="B22:F27" si="8">IF(COUNTIF($L$3:$L$9,MID(B4,$A$20,1))&gt;0,TRUE,FALSE)</f>
        <v>0</v>
      </c>
      <c r="C22" s="7" t="b">
        <f t="shared" si="8"/>
        <v>0</v>
      </c>
      <c r="D22" s="7" t="b">
        <f t="shared" si="8"/>
        <v>0</v>
      </c>
      <c r="E22" s="7" t="b">
        <f t="shared" si="8"/>
        <v>0</v>
      </c>
      <c r="F22" s="7" t="b">
        <f t="shared" si="8"/>
        <v>0</v>
      </c>
      <c r="I22" s="7" t="b">
        <f t="shared" ref="I22:I27" si="9">IF(COUNTIF($M$3:$M$9,MID(B4,$H$20,1))&gt;0,TRUE,FALSE)</f>
        <v>0</v>
      </c>
      <c r="J22" s="7" t="b">
        <f t="shared" si="5"/>
        <v>0</v>
      </c>
      <c r="K22" s="7" t="b">
        <f t="shared" si="5"/>
        <v>0</v>
      </c>
      <c r="L22" s="7" t="b">
        <f t="shared" si="5"/>
        <v>0</v>
      </c>
      <c r="M22" s="7" t="b">
        <f t="shared" si="5"/>
        <v>0</v>
      </c>
      <c r="P22" s="7" t="b">
        <f t="shared" si="6"/>
        <v>0</v>
      </c>
      <c r="Q22" s="7" t="b">
        <f t="shared" si="7"/>
        <v>0</v>
      </c>
      <c r="R22" s="7" t="b">
        <f t="shared" si="7"/>
        <v>0</v>
      </c>
      <c r="S22" s="7" t="b">
        <f t="shared" si="7"/>
        <v>0</v>
      </c>
      <c r="T22" s="7" t="b">
        <f t="shared" si="7"/>
        <v>0</v>
      </c>
    </row>
    <row r="23" spans="1:22">
      <c r="B23" s="7" t="b">
        <f t="shared" si="8"/>
        <v>0</v>
      </c>
      <c r="C23" s="7" t="b">
        <f t="shared" si="8"/>
        <v>0</v>
      </c>
      <c r="D23" s="7" t="b">
        <f t="shared" si="8"/>
        <v>0</v>
      </c>
      <c r="E23" s="7" t="b">
        <f t="shared" si="8"/>
        <v>0</v>
      </c>
      <c r="F23" s="7" t="b">
        <f t="shared" si="8"/>
        <v>0</v>
      </c>
      <c r="I23" s="7" t="b">
        <f t="shared" si="9"/>
        <v>0</v>
      </c>
      <c r="J23" s="7" t="b">
        <f t="shared" si="5"/>
        <v>0</v>
      </c>
      <c r="K23" s="7" t="b">
        <f t="shared" si="5"/>
        <v>0</v>
      </c>
      <c r="L23" s="7" t="b">
        <f t="shared" si="5"/>
        <v>0</v>
      </c>
      <c r="M23" s="7" t="b">
        <f t="shared" si="5"/>
        <v>0</v>
      </c>
      <c r="P23" s="7" t="b">
        <f t="shared" si="6"/>
        <v>0</v>
      </c>
      <c r="Q23" s="7" t="b">
        <f t="shared" si="7"/>
        <v>0</v>
      </c>
      <c r="R23" s="7" t="b">
        <f t="shared" si="7"/>
        <v>0</v>
      </c>
      <c r="S23" s="7" t="b">
        <f t="shared" si="7"/>
        <v>0</v>
      </c>
      <c r="T23" s="7" t="b">
        <f t="shared" si="7"/>
        <v>0</v>
      </c>
    </row>
    <row r="24" spans="1:22">
      <c r="B24" s="7" t="b">
        <f t="shared" si="8"/>
        <v>0</v>
      </c>
      <c r="C24" s="7" t="b">
        <f t="shared" si="8"/>
        <v>0</v>
      </c>
      <c r="D24" s="7" t="b">
        <f t="shared" si="8"/>
        <v>0</v>
      </c>
      <c r="E24" s="7" t="b">
        <f t="shared" si="8"/>
        <v>0</v>
      </c>
      <c r="F24" s="7" t="b">
        <f t="shared" si="8"/>
        <v>0</v>
      </c>
      <c r="I24" s="7" t="b">
        <f t="shared" si="9"/>
        <v>0</v>
      </c>
      <c r="J24" s="7" t="b">
        <f t="shared" si="5"/>
        <v>0</v>
      </c>
      <c r="K24" s="7" t="b">
        <f t="shared" si="5"/>
        <v>0</v>
      </c>
      <c r="L24" s="7" t="b">
        <f t="shared" si="5"/>
        <v>0</v>
      </c>
      <c r="M24" s="7" t="b">
        <f t="shared" si="5"/>
        <v>0</v>
      </c>
      <c r="P24" s="7" t="b">
        <f t="shared" si="6"/>
        <v>0</v>
      </c>
      <c r="Q24" s="7" t="b">
        <f t="shared" si="7"/>
        <v>0</v>
      </c>
      <c r="R24" s="7" t="b">
        <f t="shared" si="7"/>
        <v>0</v>
      </c>
      <c r="S24" s="7" t="b">
        <f t="shared" si="7"/>
        <v>0</v>
      </c>
      <c r="T24" s="7" t="b">
        <f t="shared" si="7"/>
        <v>0</v>
      </c>
    </row>
    <row r="25" spans="1:22">
      <c r="B25" s="7" t="b">
        <f t="shared" si="8"/>
        <v>0</v>
      </c>
      <c r="C25" s="7" t="b">
        <f t="shared" si="8"/>
        <v>0</v>
      </c>
      <c r="D25" s="7" t="b">
        <f t="shared" si="8"/>
        <v>0</v>
      </c>
      <c r="E25" s="7" t="b">
        <f t="shared" si="8"/>
        <v>0</v>
      </c>
      <c r="F25" s="7" t="b">
        <f t="shared" si="8"/>
        <v>0</v>
      </c>
      <c r="I25" s="7" t="b">
        <f t="shared" si="9"/>
        <v>0</v>
      </c>
      <c r="J25" s="7" t="b">
        <f t="shared" si="5"/>
        <v>0</v>
      </c>
      <c r="K25" s="7" t="b">
        <f t="shared" si="5"/>
        <v>0</v>
      </c>
      <c r="L25" s="7" t="b">
        <f t="shared" si="5"/>
        <v>0</v>
      </c>
      <c r="M25" s="7" t="b">
        <f t="shared" si="5"/>
        <v>0</v>
      </c>
      <c r="P25" s="7" t="b">
        <f t="shared" si="6"/>
        <v>0</v>
      </c>
      <c r="Q25" s="7" t="b">
        <f t="shared" si="7"/>
        <v>0</v>
      </c>
      <c r="R25" s="7" t="b">
        <f t="shared" si="7"/>
        <v>0</v>
      </c>
      <c r="S25" s="7" t="b">
        <f t="shared" si="7"/>
        <v>0</v>
      </c>
      <c r="T25" s="7" t="b">
        <f t="shared" si="7"/>
        <v>0</v>
      </c>
    </row>
    <row r="26" spans="1:22">
      <c r="B26" s="7" t="b">
        <f t="shared" si="8"/>
        <v>0</v>
      </c>
      <c r="C26" s="7" t="b">
        <f t="shared" si="8"/>
        <v>0</v>
      </c>
      <c r="D26" s="7" t="b">
        <f t="shared" si="8"/>
        <v>0</v>
      </c>
      <c r="E26" s="7" t="b">
        <f t="shared" si="8"/>
        <v>0</v>
      </c>
      <c r="F26" s="7" t="b">
        <f t="shared" si="8"/>
        <v>0</v>
      </c>
      <c r="I26" s="7" t="b">
        <f t="shared" si="9"/>
        <v>0</v>
      </c>
      <c r="J26" s="7" t="b">
        <f t="shared" si="5"/>
        <v>0</v>
      </c>
      <c r="K26" s="7" t="b">
        <f t="shared" si="5"/>
        <v>0</v>
      </c>
      <c r="L26" s="7" t="b">
        <f t="shared" si="5"/>
        <v>0</v>
      </c>
      <c r="M26" s="7" t="b">
        <f t="shared" si="5"/>
        <v>0</v>
      </c>
      <c r="P26" s="7" t="b">
        <f t="shared" si="6"/>
        <v>0</v>
      </c>
      <c r="Q26" s="7" t="b">
        <f t="shared" si="7"/>
        <v>0</v>
      </c>
      <c r="R26" s="7" t="b">
        <f t="shared" si="7"/>
        <v>0</v>
      </c>
      <c r="S26" s="7" t="b">
        <f t="shared" si="7"/>
        <v>0</v>
      </c>
      <c r="T26" s="7" t="b">
        <f t="shared" si="7"/>
        <v>0</v>
      </c>
    </row>
    <row r="27" spans="1:22">
      <c r="B27" s="7" t="b">
        <f t="shared" si="8"/>
        <v>0</v>
      </c>
      <c r="C27" s="7" t="b">
        <f t="shared" si="8"/>
        <v>0</v>
      </c>
      <c r="D27" s="7" t="b">
        <f t="shared" si="8"/>
        <v>0</v>
      </c>
      <c r="E27" s="7" t="b">
        <f t="shared" si="8"/>
        <v>0</v>
      </c>
      <c r="F27" s="7" t="b">
        <f t="shared" si="8"/>
        <v>0</v>
      </c>
      <c r="I27" s="7" t="b">
        <f t="shared" si="9"/>
        <v>0</v>
      </c>
      <c r="J27" s="7" t="b">
        <f t="shared" si="5"/>
        <v>0</v>
      </c>
      <c r="K27" s="7" t="b">
        <f t="shared" si="5"/>
        <v>0</v>
      </c>
      <c r="L27" s="7" t="b">
        <f t="shared" si="5"/>
        <v>0</v>
      </c>
      <c r="M27" s="7" t="b">
        <f t="shared" si="5"/>
        <v>0</v>
      </c>
      <c r="P27" s="7" t="b">
        <f t="shared" si="6"/>
        <v>0</v>
      </c>
      <c r="Q27" s="7" t="b">
        <f t="shared" si="7"/>
        <v>0</v>
      </c>
      <c r="R27" s="7" t="b">
        <f t="shared" si="7"/>
        <v>0</v>
      </c>
      <c r="S27" s="7" t="b">
        <f t="shared" si="7"/>
        <v>0</v>
      </c>
      <c r="T27" s="7" t="b">
        <f t="shared" si="7"/>
        <v>0</v>
      </c>
    </row>
    <row r="31" spans="1:22" ht="61.15">
      <c r="B31" s="93" t="s">
        <v>74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</row>
  </sheetData>
  <mergeCells count="2">
    <mergeCell ref="I1:M1"/>
    <mergeCell ref="B31:V31"/>
  </mergeCells>
  <phoneticPr fontId="1" type="noConversion"/>
  <conditionalFormatting sqref="P21:T27">
    <cfRule type="cellIs" dxfId="14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">
                <anchor moveWithCells="1" sizeWithCells="1">
                  <from>
                    <xdr:col>13</xdr:col>
                    <xdr:colOff>104775</xdr:colOff>
                    <xdr:row>3</xdr:row>
                    <xdr:rowOff>47625</xdr:rowOff>
                  </from>
                  <to>
                    <xdr:col>14</xdr:col>
                    <xdr:colOff>561975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fer">
                <anchor moveWithCells="1" sizeWithCells="1">
                  <from>
                    <xdr:col>13</xdr:col>
                    <xdr:colOff>114300</xdr:colOff>
                    <xdr:row>6</xdr:row>
                    <xdr:rowOff>0</xdr:rowOff>
                  </from>
                  <to>
                    <xdr:col>14</xdr:col>
                    <xdr:colOff>571500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">
    <tabColor theme="0" tint="-0.249977111117893"/>
  </sheetPr>
  <dimension ref="A1:V31"/>
  <sheetViews>
    <sheetView workbookViewId="0">
      <selection activeCell="M9" sqref="M9"/>
    </sheetView>
  </sheetViews>
  <sheetFormatPr defaultRowHeight="15.75"/>
  <cols>
    <col min="2" max="2" width="9.5" bestFit="1" customWidth="1"/>
    <col min="9" max="9" width="9.5" bestFit="1" customWidth="1"/>
    <col min="16" max="16" width="9.5" bestFit="1" customWidth="1"/>
  </cols>
  <sheetData>
    <row r="1" spans="1:21">
      <c r="I1" s="91"/>
      <c r="J1" s="91"/>
      <c r="K1" s="91"/>
      <c r="L1" s="91"/>
      <c r="M1" s="91"/>
    </row>
    <row r="2" spans="1:21">
      <c r="I2">
        <v>1</v>
      </c>
      <c r="J2">
        <v>2</v>
      </c>
      <c r="K2">
        <v>3</v>
      </c>
      <c r="L2">
        <v>4</v>
      </c>
      <c r="M2">
        <v>5</v>
      </c>
      <c r="O2" t="s">
        <v>68</v>
      </c>
    </row>
    <row r="3" spans="1:21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I3" s="8"/>
      <c r="J3" s="8"/>
      <c r="K3" s="8"/>
      <c r="L3" s="8"/>
      <c r="M3" s="8"/>
      <c r="P3" s="14" t="s">
        <v>0</v>
      </c>
      <c r="Q3" s="14" t="s">
        <v>1</v>
      </c>
      <c r="R3" s="14" t="s">
        <v>2</v>
      </c>
      <c r="S3" s="14" t="s">
        <v>3</v>
      </c>
      <c r="T3" s="14" t="s">
        <v>4</v>
      </c>
      <c r="U3" s="15"/>
    </row>
    <row r="4" spans="1:21"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I4" s="8"/>
      <c r="J4" s="8"/>
      <c r="K4" s="8"/>
      <c r="L4" s="8"/>
      <c r="M4" s="8"/>
      <c r="P4" s="14" t="s">
        <v>5</v>
      </c>
      <c r="Q4" s="14" t="s">
        <v>6</v>
      </c>
      <c r="R4" s="14" t="s">
        <v>7</v>
      </c>
      <c r="S4" s="14" t="s">
        <v>8</v>
      </c>
      <c r="T4" s="14" t="s">
        <v>9</v>
      </c>
      <c r="U4" s="15"/>
    </row>
    <row r="5" spans="1:21">
      <c r="B5" s="7" t="s">
        <v>10</v>
      </c>
      <c r="C5" s="7" t="s">
        <v>11</v>
      </c>
      <c r="D5" s="7" t="s">
        <v>12</v>
      </c>
      <c r="E5" s="7" t="s">
        <v>13</v>
      </c>
      <c r="F5" s="7" t="s">
        <v>14</v>
      </c>
      <c r="I5" s="8"/>
      <c r="J5" s="8"/>
      <c r="K5" s="8"/>
      <c r="L5" s="8"/>
      <c r="M5" s="8"/>
      <c r="P5" s="14" t="s">
        <v>10</v>
      </c>
      <c r="Q5" s="14" t="s">
        <v>11</v>
      </c>
      <c r="R5" s="14" t="s">
        <v>12</v>
      </c>
      <c r="S5" s="14" t="s">
        <v>13</v>
      </c>
      <c r="T5" s="14" t="s">
        <v>14</v>
      </c>
      <c r="U5" s="15"/>
    </row>
    <row r="6" spans="1:21">
      <c r="B6" s="7" t="s">
        <v>15</v>
      </c>
      <c r="C6" s="7" t="s">
        <v>16</v>
      </c>
      <c r="D6" s="7" t="s">
        <v>17</v>
      </c>
      <c r="E6" s="7" t="s">
        <v>18</v>
      </c>
      <c r="F6" s="7" t="s">
        <v>19</v>
      </c>
      <c r="I6" s="8"/>
      <c r="J6" s="8"/>
      <c r="K6" s="8"/>
      <c r="L6" s="8"/>
      <c r="M6" s="8"/>
      <c r="P6" s="14" t="s">
        <v>15</v>
      </c>
      <c r="Q6" s="14" t="s">
        <v>16</v>
      </c>
      <c r="R6" s="14" t="s">
        <v>17</v>
      </c>
      <c r="S6" s="14" t="s">
        <v>18</v>
      </c>
      <c r="T6" s="14" t="s">
        <v>19</v>
      </c>
      <c r="U6" s="15"/>
    </row>
    <row r="7" spans="1:21">
      <c r="B7" s="7" t="s">
        <v>20</v>
      </c>
      <c r="C7" s="7" t="s">
        <v>21</v>
      </c>
      <c r="D7" s="7" t="s">
        <v>22</v>
      </c>
      <c r="E7" s="7" t="s">
        <v>23</v>
      </c>
      <c r="F7" s="7" t="s">
        <v>24</v>
      </c>
      <c r="I7" s="8"/>
      <c r="J7" s="8"/>
      <c r="K7" s="8"/>
      <c r="L7" s="8"/>
      <c r="M7" s="8"/>
      <c r="P7" s="14" t="s">
        <v>20</v>
      </c>
      <c r="Q7" s="14" t="s">
        <v>21</v>
      </c>
      <c r="R7" s="14" t="s">
        <v>22</v>
      </c>
      <c r="S7" s="14" t="s">
        <v>23</v>
      </c>
      <c r="T7" s="14" t="s">
        <v>24</v>
      </c>
      <c r="U7" s="15"/>
    </row>
    <row r="8" spans="1:21">
      <c r="B8" s="7" t="s">
        <v>25</v>
      </c>
      <c r="C8" s="7" t="s">
        <v>26</v>
      </c>
      <c r="D8" s="7" t="s">
        <v>27</v>
      </c>
      <c r="E8" s="7" t="s">
        <v>28</v>
      </c>
      <c r="F8" s="7" t="s">
        <v>29</v>
      </c>
      <c r="I8" s="8"/>
      <c r="J8" s="8"/>
      <c r="K8" s="8"/>
      <c r="L8" s="8"/>
      <c r="M8" s="8"/>
      <c r="P8" s="14" t="s">
        <v>25</v>
      </c>
      <c r="Q8" s="14" t="s">
        <v>26</v>
      </c>
      <c r="R8" s="14" t="s">
        <v>27</v>
      </c>
      <c r="S8" s="14" t="s">
        <v>28</v>
      </c>
      <c r="T8" s="14" t="s">
        <v>29</v>
      </c>
      <c r="U8" s="15"/>
    </row>
    <row r="9" spans="1:21">
      <c r="B9" s="7" t="s">
        <v>30</v>
      </c>
      <c r="C9" s="7" t="s">
        <v>31</v>
      </c>
      <c r="D9" s="7" t="s">
        <v>32</v>
      </c>
      <c r="E9" s="7" t="s">
        <v>33</v>
      </c>
      <c r="F9" s="7" t="s">
        <v>34</v>
      </c>
      <c r="I9" s="8"/>
      <c r="J9" s="8"/>
      <c r="K9" s="8"/>
      <c r="L9" s="8"/>
      <c r="M9" s="8"/>
      <c r="P9" s="14" t="s">
        <v>30</v>
      </c>
      <c r="Q9" s="14" t="s">
        <v>31</v>
      </c>
      <c r="R9" s="14" t="s">
        <v>32</v>
      </c>
      <c r="S9" s="14" t="s">
        <v>33</v>
      </c>
      <c r="T9" s="14" t="s">
        <v>34</v>
      </c>
    </row>
    <row r="11" spans="1:21">
      <c r="A11">
        <v>1</v>
      </c>
      <c r="H11">
        <v>2</v>
      </c>
      <c r="O11">
        <v>3</v>
      </c>
    </row>
    <row r="12" spans="1:21">
      <c r="B12" s="7" t="b">
        <f t="shared" ref="B12:F18" si="0">IF(COUNTIF($I$3:$I$9,MID(B3,$A$11,1))&gt;0,TRUE,FALSE)</f>
        <v>0</v>
      </c>
      <c r="C12" s="7" t="b">
        <f t="shared" si="0"/>
        <v>0</v>
      </c>
      <c r="D12" s="7" t="b">
        <f t="shared" si="0"/>
        <v>0</v>
      </c>
      <c r="E12" s="7" t="b">
        <f t="shared" si="0"/>
        <v>0</v>
      </c>
      <c r="F12" s="7" t="b">
        <f t="shared" si="0"/>
        <v>0</v>
      </c>
      <c r="I12" s="7" t="b">
        <f>IF(COUNTIF($J$3:$J$9,MID(B3,$H$11,1))&gt;0,TRUE,FALSE)</f>
        <v>0</v>
      </c>
      <c r="J12" s="7" t="b">
        <f>IF(COUNTIF($J$3:$J$9,MID(C3,$H$11,1))&gt;0,TRUE,FALSE)</f>
        <v>0</v>
      </c>
      <c r="K12" s="7" t="b">
        <f>IF(COUNTIF($J$3:$J$9,MID(D3,$H$11,1))&gt;0,TRUE,FALSE)</f>
        <v>0</v>
      </c>
      <c r="L12" s="7" t="b">
        <f>IF(COUNTIF($J$3:$J$9,MID(E3,$H$11,1))&gt;0,TRUE,FALSE)</f>
        <v>0</v>
      </c>
      <c r="M12" s="7" t="b">
        <f>IF(COUNTIF($J$3:$J$9,MID(F3,$H$11,1))&gt;0,TRUE,FALSE)</f>
        <v>0</v>
      </c>
      <c r="P12" s="7" t="b">
        <f>IF(COUNTIF($K$3:$K$9,MID(B3,$O$11,1))&gt;0,TRUE,FALSE)</f>
        <v>0</v>
      </c>
      <c r="Q12" s="7" t="b">
        <f>IF(COUNTIF($K$3:$K$9,MID(C3,$O$11,1))&gt;0,TRUE,FALSE)</f>
        <v>0</v>
      </c>
      <c r="R12" s="7" t="b">
        <f>IF(COUNTIF($K$3:$K$9,MID(D3,$O$11,1))&gt;0,TRUE,FALSE)</f>
        <v>0</v>
      </c>
      <c r="S12" s="7" t="b">
        <f>IF(COUNTIF($K$3:$K$9,MID(E3,$O$11,1))&gt;0,TRUE,FALSE)</f>
        <v>0</v>
      </c>
      <c r="T12" s="7" t="b">
        <f>IF(COUNTIF($K$3:$K$9,MID(F3,$O$11,1))&gt;0,TRUE,FALSE)</f>
        <v>0</v>
      </c>
    </row>
    <row r="13" spans="1:21">
      <c r="B13" s="7" t="b">
        <f t="shared" si="0"/>
        <v>0</v>
      </c>
      <c r="C13" s="7" t="b">
        <f t="shared" si="0"/>
        <v>0</v>
      </c>
      <c r="D13" s="7" t="b">
        <f t="shared" si="0"/>
        <v>0</v>
      </c>
      <c r="E13" s="7" t="b">
        <f t="shared" si="0"/>
        <v>0</v>
      </c>
      <c r="F13" s="7" t="b">
        <f t="shared" si="0"/>
        <v>0</v>
      </c>
      <c r="I13" s="7" t="b">
        <f t="shared" ref="I13:I18" si="1">IF(COUNTIF($J$3:$J$9,MID(B4,$H$11,1))&gt;0,TRUE,FALSE)</f>
        <v>0</v>
      </c>
      <c r="J13" s="7" t="b">
        <f t="shared" ref="J13:J18" si="2">IF(COUNTIF($J$3:$J$9,MID(C4,$H$11,1))&gt;0,TRUE,FALSE)</f>
        <v>0</v>
      </c>
      <c r="K13" s="7" t="b">
        <f t="shared" ref="K13:K18" si="3">IF(COUNTIF($J$3:$J$9,MID(D4,$H$11,1))&gt;0,TRUE,FALSE)</f>
        <v>0</v>
      </c>
      <c r="L13" s="7" t="b">
        <f t="shared" ref="L13:L18" si="4">IF(COUNTIF($J$3:$J$9,MID(E4,$H$11,1))&gt;0,TRUE,FALSE)</f>
        <v>0</v>
      </c>
      <c r="M13" s="7" t="b">
        <f t="shared" ref="M13:M18" si="5">IF(COUNTIF($J$3:$J$9,MID(F4,$H$11,1))&gt;0,TRUE,FALSE)</f>
        <v>0</v>
      </c>
      <c r="P13" s="7" t="b">
        <f t="shared" ref="P13:P18" si="6">IF(COUNTIF($K$3:$K$9,MID(B4,$O$11,1))&gt;0,TRUE,FALSE)</f>
        <v>0</v>
      </c>
      <c r="Q13" s="7" t="b">
        <f t="shared" ref="Q13:Q18" si="7">IF(COUNTIF($K$3:$K$9,MID(C4,$O$11,1))&gt;0,TRUE,FALSE)</f>
        <v>0</v>
      </c>
      <c r="R13" s="7" t="b">
        <f t="shared" ref="R13:R18" si="8">IF(COUNTIF($K$3:$K$9,MID(D4,$O$11,1))&gt;0,TRUE,FALSE)</f>
        <v>0</v>
      </c>
      <c r="S13" s="7" t="b">
        <f t="shared" ref="S13:S18" si="9">IF(COUNTIF($K$3:$K$9,MID(E4,$O$11,1))&gt;0,TRUE,FALSE)</f>
        <v>0</v>
      </c>
      <c r="T13" s="7" t="b">
        <f t="shared" ref="T13:T18" si="10">IF(COUNTIF($K$3:$K$9,MID(F4,$O$11,1))&gt;0,TRUE,FALSE)</f>
        <v>0</v>
      </c>
    </row>
    <row r="14" spans="1:21">
      <c r="B14" s="7" t="b">
        <f t="shared" si="0"/>
        <v>0</v>
      </c>
      <c r="C14" s="7" t="b">
        <f t="shared" si="0"/>
        <v>0</v>
      </c>
      <c r="D14" s="7" t="b">
        <f t="shared" si="0"/>
        <v>0</v>
      </c>
      <c r="E14" s="7" t="b">
        <f t="shared" si="0"/>
        <v>0</v>
      </c>
      <c r="F14" s="7" t="b">
        <f t="shared" si="0"/>
        <v>0</v>
      </c>
      <c r="I14" s="7" t="b">
        <f t="shared" si="1"/>
        <v>0</v>
      </c>
      <c r="J14" s="7" t="b">
        <f t="shared" si="2"/>
        <v>0</v>
      </c>
      <c r="K14" s="7" t="b">
        <f t="shared" si="3"/>
        <v>0</v>
      </c>
      <c r="L14" s="7" t="b">
        <f t="shared" si="4"/>
        <v>0</v>
      </c>
      <c r="M14" s="7" t="b">
        <f t="shared" si="5"/>
        <v>0</v>
      </c>
      <c r="P14" s="7" t="b">
        <f t="shared" si="6"/>
        <v>0</v>
      </c>
      <c r="Q14" s="7" t="b">
        <f t="shared" si="7"/>
        <v>0</v>
      </c>
      <c r="R14" s="7" t="b">
        <f t="shared" si="8"/>
        <v>0</v>
      </c>
      <c r="S14" s="7" t="b">
        <f t="shared" si="9"/>
        <v>0</v>
      </c>
      <c r="T14" s="7" t="b">
        <f t="shared" si="10"/>
        <v>0</v>
      </c>
    </row>
    <row r="15" spans="1:21">
      <c r="B15" s="7" t="b">
        <f t="shared" si="0"/>
        <v>0</v>
      </c>
      <c r="C15" s="7" t="b">
        <f t="shared" si="0"/>
        <v>0</v>
      </c>
      <c r="D15" s="7" t="b">
        <f t="shared" si="0"/>
        <v>0</v>
      </c>
      <c r="E15" s="7" t="b">
        <f t="shared" si="0"/>
        <v>0</v>
      </c>
      <c r="F15" s="7" t="b">
        <f t="shared" si="0"/>
        <v>0</v>
      </c>
      <c r="I15" s="7" t="b">
        <f t="shared" si="1"/>
        <v>0</v>
      </c>
      <c r="J15" s="7" t="b">
        <f t="shared" si="2"/>
        <v>0</v>
      </c>
      <c r="K15" s="7" t="b">
        <f t="shared" si="3"/>
        <v>0</v>
      </c>
      <c r="L15" s="7" t="b">
        <f t="shared" si="4"/>
        <v>0</v>
      </c>
      <c r="M15" s="7" t="b">
        <f t="shared" si="5"/>
        <v>0</v>
      </c>
      <c r="P15" s="7" t="b">
        <f t="shared" si="6"/>
        <v>0</v>
      </c>
      <c r="Q15" s="7" t="b">
        <f t="shared" si="7"/>
        <v>0</v>
      </c>
      <c r="R15" s="7" t="b">
        <f t="shared" si="8"/>
        <v>0</v>
      </c>
      <c r="S15" s="7" t="b">
        <f t="shared" si="9"/>
        <v>0</v>
      </c>
      <c r="T15" s="7" t="b">
        <f t="shared" si="10"/>
        <v>0</v>
      </c>
    </row>
    <row r="16" spans="1:21">
      <c r="B16" s="7" t="b">
        <f t="shared" si="0"/>
        <v>0</v>
      </c>
      <c r="C16" s="7" t="b">
        <f t="shared" si="0"/>
        <v>0</v>
      </c>
      <c r="D16" s="7" t="b">
        <f t="shared" si="0"/>
        <v>0</v>
      </c>
      <c r="E16" s="7" t="b">
        <f t="shared" si="0"/>
        <v>0</v>
      </c>
      <c r="F16" s="7" t="b">
        <f t="shared" si="0"/>
        <v>0</v>
      </c>
      <c r="I16" s="7" t="b">
        <f t="shared" si="1"/>
        <v>0</v>
      </c>
      <c r="J16" s="7" t="b">
        <f t="shared" si="2"/>
        <v>0</v>
      </c>
      <c r="K16" s="7" t="b">
        <f t="shared" si="3"/>
        <v>0</v>
      </c>
      <c r="L16" s="7" t="b">
        <f t="shared" si="4"/>
        <v>0</v>
      </c>
      <c r="M16" s="7" t="b">
        <f t="shared" si="5"/>
        <v>0</v>
      </c>
      <c r="P16" s="7" t="b">
        <f t="shared" si="6"/>
        <v>0</v>
      </c>
      <c r="Q16" s="7" t="b">
        <f t="shared" si="7"/>
        <v>0</v>
      </c>
      <c r="R16" s="7" t="b">
        <f t="shared" si="8"/>
        <v>0</v>
      </c>
      <c r="S16" s="7" t="b">
        <f t="shared" si="9"/>
        <v>0</v>
      </c>
      <c r="T16" s="7" t="b">
        <f t="shared" si="10"/>
        <v>0</v>
      </c>
    </row>
    <row r="17" spans="1:22">
      <c r="B17" s="7" t="b">
        <f t="shared" si="0"/>
        <v>0</v>
      </c>
      <c r="C17" s="7" t="b">
        <f t="shared" si="0"/>
        <v>0</v>
      </c>
      <c r="D17" s="7" t="b">
        <f t="shared" si="0"/>
        <v>0</v>
      </c>
      <c r="E17" s="7" t="b">
        <f t="shared" si="0"/>
        <v>0</v>
      </c>
      <c r="F17" s="7" t="b">
        <f t="shared" si="0"/>
        <v>0</v>
      </c>
      <c r="I17" s="7" t="b">
        <f t="shared" si="1"/>
        <v>0</v>
      </c>
      <c r="J17" s="7" t="b">
        <f t="shared" si="2"/>
        <v>0</v>
      </c>
      <c r="K17" s="7" t="b">
        <f t="shared" si="3"/>
        <v>0</v>
      </c>
      <c r="L17" s="7" t="b">
        <f t="shared" si="4"/>
        <v>0</v>
      </c>
      <c r="M17" s="7" t="b">
        <f t="shared" si="5"/>
        <v>0</v>
      </c>
      <c r="P17" s="7" t="b">
        <f t="shared" si="6"/>
        <v>0</v>
      </c>
      <c r="Q17" s="7" t="b">
        <f t="shared" si="7"/>
        <v>0</v>
      </c>
      <c r="R17" s="7" t="b">
        <f t="shared" si="8"/>
        <v>0</v>
      </c>
      <c r="S17" s="7" t="b">
        <f t="shared" si="9"/>
        <v>0</v>
      </c>
      <c r="T17" s="7" t="b">
        <f t="shared" si="10"/>
        <v>0</v>
      </c>
    </row>
    <row r="18" spans="1:22">
      <c r="B18" s="7" t="b">
        <f t="shared" si="0"/>
        <v>0</v>
      </c>
      <c r="C18" s="7" t="b">
        <f t="shared" si="0"/>
        <v>0</v>
      </c>
      <c r="D18" s="7" t="b">
        <f t="shared" si="0"/>
        <v>0</v>
      </c>
      <c r="E18" s="7" t="b">
        <f t="shared" si="0"/>
        <v>0</v>
      </c>
      <c r="F18" s="7" t="b">
        <f t="shared" si="0"/>
        <v>0</v>
      </c>
      <c r="I18" s="7" t="b">
        <f t="shared" si="1"/>
        <v>0</v>
      </c>
      <c r="J18" s="7" t="b">
        <f t="shared" si="2"/>
        <v>0</v>
      </c>
      <c r="K18" s="7" t="b">
        <f t="shared" si="3"/>
        <v>0</v>
      </c>
      <c r="L18" s="7" t="b">
        <f t="shared" si="4"/>
        <v>0</v>
      </c>
      <c r="M18" s="7" t="b">
        <f t="shared" si="5"/>
        <v>0</v>
      </c>
      <c r="P18" s="7" t="b">
        <f t="shared" si="6"/>
        <v>0</v>
      </c>
      <c r="Q18" s="7" t="b">
        <f t="shared" si="7"/>
        <v>0</v>
      </c>
      <c r="R18" s="7" t="b">
        <f t="shared" si="8"/>
        <v>0</v>
      </c>
      <c r="S18" s="7" t="b">
        <f t="shared" si="9"/>
        <v>0</v>
      </c>
      <c r="T18" s="7" t="b">
        <f t="shared" si="10"/>
        <v>0</v>
      </c>
    </row>
    <row r="20" spans="1:22">
      <c r="A20">
        <v>4</v>
      </c>
      <c r="H20">
        <v>5</v>
      </c>
      <c r="O20" t="s">
        <v>65</v>
      </c>
    </row>
    <row r="21" spans="1:22">
      <c r="B21" s="7" t="b">
        <f t="shared" ref="B21:F27" si="11">IF(COUNTIF($L$3:$L$9,MID(B3,$A$20,1))&gt;0,TRUE,FALSE)</f>
        <v>0</v>
      </c>
      <c r="C21" s="7" t="b">
        <f t="shared" si="11"/>
        <v>0</v>
      </c>
      <c r="D21" s="7" t="b">
        <f t="shared" si="11"/>
        <v>0</v>
      </c>
      <c r="E21" s="7" t="b">
        <f t="shared" si="11"/>
        <v>0</v>
      </c>
      <c r="F21" s="7" t="b">
        <f t="shared" si="11"/>
        <v>0</v>
      </c>
      <c r="I21" s="7" t="b">
        <f>IF(COUNTIF($M$3:$M$9,MID(B3,$H$20,1))&gt;0,TRUE,FALSE)</f>
        <v>0</v>
      </c>
      <c r="J21" s="7" t="b">
        <f>IF(COUNTIF($M$3:$M$9,MID(C3,$H$20,1))&gt;0,TRUE,FALSE)</f>
        <v>0</v>
      </c>
      <c r="K21" s="7" t="b">
        <f>IF(COUNTIF($M$3:$M$9,MID(D3,$H$20,1))&gt;0,TRUE,FALSE)</f>
        <v>0</v>
      </c>
      <c r="L21" s="7" t="b">
        <f>IF(COUNTIF($M$3:$M$9,MID(E3,$H$20,1))&gt;0,TRUE,FALSE)</f>
        <v>0</v>
      </c>
      <c r="M21" s="7" t="b">
        <f>IF(COUNTIF($M$3:$M$9,MID(F3,$H$20,1))&gt;0,TRUE,FALSE)</f>
        <v>0</v>
      </c>
      <c r="P21" s="7" t="b">
        <f>AND(B12,I12,P12,B21,I21)</f>
        <v>0</v>
      </c>
      <c r="Q21" s="7" t="b">
        <f>AND(C12,J12,Q12,C21,J21)</f>
        <v>0</v>
      </c>
      <c r="R21" s="7" t="b">
        <f>AND(D12,K12,R12,D21,K21)</f>
        <v>0</v>
      </c>
      <c r="S21" s="7" t="b">
        <f>AND(E12,L12,S12,E21,L21)</f>
        <v>0</v>
      </c>
      <c r="T21" s="7" t="b">
        <f>AND(F12,M12,T12,F21,M21)</f>
        <v>0</v>
      </c>
    </row>
    <row r="22" spans="1:22">
      <c r="B22" s="7" t="b">
        <f t="shared" si="11"/>
        <v>0</v>
      </c>
      <c r="C22" s="7" t="b">
        <f t="shared" si="11"/>
        <v>0</v>
      </c>
      <c r="D22" s="7" t="b">
        <f t="shared" si="11"/>
        <v>0</v>
      </c>
      <c r="E22" s="7" t="b">
        <f t="shared" si="11"/>
        <v>0</v>
      </c>
      <c r="F22" s="7" t="b">
        <f t="shared" si="11"/>
        <v>0</v>
      </c>
      <c r="I22" s="7" t="b">
        <f t="shared" ref="I22:I27" si="12">IF(COUNTIF($M$3:$M$9,MID(B4,$H$20,1))&gt;0,TRUE,FALSE)</f>
        <v>0</v>
      </c>
      <c r="J22" s="7" t="b">
        <f t="shared" ref="J22:J27" si="13">IF(COUNTIF($M$3:$M$9,MID(C4,$H$20,1))&gt;0,TRUE,FALSE)</f>
        <v>0</v>
      </c>
      <c r="K22" s="7" t="b">
        <f t="shared" ref="K22:K27" si="14">IF(COUNTIF($M$3:$M$9,MID(D4,$H$20,1))&gt;0,TRUE,FALSE)</f>
        <v>0</v>
      </c>
      <c r="L22" s="7" t="b">
        <f t="shared" ref="L22:L27" si="15">IF(COUNTIF($M$3:$M$9,MID(E4,$H$20,1))&gt;0,TRUE,FALSE)</f>
        <v>0</v>
      </c>
      <c r="M22" s="7" t="b">
        <f t="shared" ref="M22:M27" si="16">IF(COUNTIF($M$3:$M$9,MID(F4,$H$20,1))&gt;0,TRUE,FALSE)</f>
        <v>0</v>
      </c>
      <c r="P22" s="7" t="b">
        <f t="shared" ref="P22:P27" si="17">AND(B13,I13,P13,B22,I22)</f>
        <v>0</v>
      </c>
      <c r="Q22" s="7" t="b">
        <f t="shared" ref="Q22:Q27" si="18">AND(C13,J13,Q13,C22,J22)</f>
        <v>0</v>
      </c>
      <c r="R22" s="7" t="b">
        <f t="shared" ref="R22:R27" si="19">AND(D13,K13,R13,D22,K22)</f>
        <v>0</v>
      </c>
      <c r="S22" s="7" t="b">
        <f t="shared" ref="S22:S27" si="20">AND(E13,L13,S13,E22,L22)</f>
        <v>0</v>
      </c>
      <c r="T22" s="7" t="b">
        <f t="shared" ref="T22:T27" si="21">AND(F13,M13,T13,F22,M22)</f>
        <v>0</v>
      </c>
    </row>
    <row r="23" spans="1:22">
      <c r="B23" s="7" t="b">
        <f t="shared" si="11"/>
        <v>0</v>
      </c>
      <c r="C23" s="7" t="b">
        <f t="shared" si="11"/>
        <v>0</v>
      </c>
      <c r="D23" s="7" t="b">
        <f t="shared" si="11"/>
        <v>0</v>
      </c>
      <c r="E23" s="7" t="b">
        <f t="shared" si="11"/>
        <v>0</v>
      </c>
      <c r="F23" s="7" t="b">
        <f t="shared" si="11"/>
        <v>0</v>
      </c>
      <c r="I23" s="7" t="b">
        <f t="shared" si="12"/>
        <v>0</v>
      </c>
      <c r="J23" s="7" t="b">
        <f t="shared" si="13"/>
        <v>0</v>
      </c>
      <c r="K23" s="7" t="b">
        <f t="shared" si="14"/>
        <v>0</v>
      </c>
      <c r="L23" s="7" t="b">
        <f t="shared" si="15"/>
        <v>0</v>
      </c>
      <c r="M23" s="7" t="b">
        <f t="shared" si="16"/>
        <v>0</v>
      </c>
      <c r="P23" s="7" t="b">
        <f t="shared" si="17"/>
        <v>0</v>
      </c>
      <c r="Q23" s="7" t="b">
        <f t="shared" si="18"/>
        <v>0</v>
      </c>
      <c r="R23" s="7" t="b">
        <f t="shared" si="19"/>
        <v>0</v>
      </c>
      <c r="S23" s="7" t="b">
        <f t="shared" si="20"/>
        <v>0</v>
      </c>
      <c r="T23" s="7" t="b">
        <f t="shared" si="21"/>
        <v>0</v>
      </c>
    </row>
    <row r="24" spans="1:22">
      <c r="B24" s="7" t="b">
        <f t="shared" si="11"/>
        <v>0</v>
      </c>
      <c r="C24" s="7" t="b">
        <f t="shared" si="11"/>
        <v>0</v>
      </c>
      <c r="D24" s="7" t="b">
        <f t="shared" si="11"/>
        <v>0</v>
      </c>
      <c r="E24" s="7" t="b">
        <f t="shared" si="11"/>
        <v>0</v>
      </c>
      <c r="F24" s="7" t="b">
        <f t="shared" si="11"/>
        <v>0</v>
      </c>
      <c r="I24" s="7" t="b">
        <f t="shared" si="12"/>
        <v>0</v>
      </c>
      <c r="J24" s="7" t="b">
        <f t="shared" si="13"/>
        <v>0</v>
      </c>
      <c r="K24" s="7" t="b">
        <f t="shared" si="14"/>
        <v>0</v>
      </c>
      <c r="L24" s="7" t="b">
        <f t="shared" si="15"/>
        <v>0</v>
      </c>
      <c r="M24" s="7" t="b">
        <f t="shared" si="16"/>
        <v>0</v>
      </c>
      <c r="P24" s="7" t="b">
        <f t="shared" si="17"/>
        <v>0</v>
      </c>
      <c r="Q24" s="7" t="b">
        <f t="shared" si="18"/>
        <v>0</v>
      </c>
      <c r="R24" s="7" t="b">
        <f t="shared" si="19"/>
        <v>0</v>
      </c>
      <c r="S24" s="7" t="b">
        <f t="shared" si="20"/>
        <v>0</v>
      </c>
      <c r="T24" s="7" t="b">
        <f t="shared" si="21"/>
        <v>0</v>
      </c>
    </row>
    <row r="25" spans="1:22">
      <c r="B25" s="7" t="b">
        <f t="shared" si="11"/>
        <v>0</v>
      </c>
      <c r="C25" s="7" t="b">
        <f t="shared" si="11"/>
        <v>0</v>
      </c>
      <c r="D25" s="7" t="b">
        <f t="shared" si="11"/>
        <v>0</v>
      </c>
      <c r="E25" s="7" t="b">
        <f t="shared" si="11"/>
        <v>0</v>
      </c>
      <c r="F25" s="7" t="b">
        <f t="shared" si="11"/>
        <v>0</v>
      </c>
      <c r="I25" s="7" t="b">
        <f t="shared" si="12"/>
        <v>0</v>
      </c>
      <c r="J25" s="7" t="b">
        <f t="shared" si="13"/>
        <v>0</v>
      </c>
      <c r="K25" s="7" t="b">
        <f t="shared" si="14"/>
        <v>0</v>
      </c>
      <c r="L25" s="7" t="b">
        <f>IF(COUNTIF($M$3:$M$9,MID(E7,$H$20,1))&gt;0,TRUE,FALSE)</f>
        <v>0</v>
      </c>
      <c r="M25" s="7" t="b">
        <f t="shared" si="16"/>
        <v>0</v>
      </c>
      <c r="P25" s="7" t="b">
        <f t="shared" si="17"/>
        <v>0</v>
      </c>
      <c r="Q25" s="7" t="b">
        <f>AND(C16,J16,Q16,C25,J25)</f>
        <v>0</v>
      </c>
      <c r="R25" s="7" t="b">
        <f t="shared" si="19"/>
        <v>0</v>
      </c>
      <c r="S25" s="7" t="b">
        <f t="shared" si="20"/>
        <v>0</v>
      </c>
      <c r="T25" s="7" t="b">
        <f t="shared" si="21"/>
        <v>0</v>
      </c>
    </row>
    <row r="26" spans="1:22">
      <c r="B26" s="7" t="b">
        <f t="shared" si="11"/>
        <v>0</v>
      </c>
      <c r="C26" s="7" t="b">
        <f t="shared" si="11"/>
        <v>0</v>
      </c>
      <c r="D26" s="7" t="b">
        <f t="shared" si="11"/>
        <v>0</v>
      </c>
      <c r="E26" s="7" t="b">
        <f t="shared" si="11"/>
        <v>0</v>
      </c>
      <c r="F26" s="7" t="b">
        <f t="shared" si="11"/>
        <v>0</v>
      </c>
      <c r="I26" s="7" t="b">
        <f t="shared" si="12"/>
        <v>0</v>
      </c>
      <c r="J26" s="7" t="b">
        <f t="shared" si="13"/>
        <v>0</v>
      </c>
      <c r="K26" s="7" t="b">
        <f t="shared" si="14"/>
        <v>0</v>
      </c>
      <c r="L26" s="7" t="b">
        <f t="shared" si="15"/>
        <v>0</v>
      </c>
      <c r="M26" s="7" t="b">
        <f t="shared" si="16"/>
        <v>0</v>
      </c>
      <c r="P26" s="7" t="b">
        <f t="shared" si="17"/>
        <v>0</v>
      </c>
      <c r="Q26" s="7" t="b">
        <f t="shared" si="18"/>
        <v>0</v>
      </c>
      <c r="R26" s="7" t="b">
        <f t="shared" si="19"/>
        <v>0</v>
      </c>
      <c r="S26" s="7" t="b">
        <f t="shared" si="20"/>
        <v>0</v>
      </c>
      <c r="T26" s="7" t="b">
        <f t="shared" si="21"/>
        <v>0</v>
      </c>
    </row>
    <row r="27" spans="1:22">
      <c r="B27" s="7" t="b">
        <f t="shared" si="11"/>
        <v>0</v>
      </c>
      <c r="C27" s="7" t="b">
        <f t="shared" si="11"/>
        <v>0</v>
      </c>
      <c r="D27" s="7" t="b">
        <f t="shared" si="11"/>
        <v>0</v>
      </c>
      <c r="E27" s="7" t="b">
        <f t="shared" si="11"/>
        <v>0</v>
      </c>
      <c r="F27" s="7" t="b">
        <f t="shared" si="11"/>
        <v>0</v>
      </c>
      <c r="I27" s="7" t="b">
        <f t="shared" si="12"/>
        <v>0</v>
      </c>
      <c r="J27" s="7" t="b">
        <f t="shared" si="13"/>
        <v>0</v>
      </c>
      <c r="K27" s="7" t="b">
        <f t="shared" si="14"/>
        <v>0</v>
      </c>
      <c r="L27" s="7" t="b">
        <f t="shared" si="15"/>
        <v>0</v>
      </c>
      <c r="M27" s="7" t="b">
        <f t="shared" si="16"/>
        <v>0</v>
      </c>
      <c r="P27" s="7" t="b">
        <f t="shared" si="17"/>
        <v>0</v>
      </c>
      <c r="Q27" s="7" t="b">
        <f t="shared" si="18"/>
        <v>0</v>
      </c>
      <c r="R27" s="7" t="b">
        <f t="shared" si="19"/>
        <v>0</v>
      </c>
      <c r="S27" s="7" t="b">
        <f t="shared" si="20"/>
        <v>0</v>
      </c>
      <c r="T27" s="7" t="b">
        <f t="shared" si="21"/>
        <v>0</v>
      </c>
    </row>
    <row r="31" spans="1:22" ht="61.15">
      <c r="B31" s="93" t="s">
        <v>162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</row>
  </sheetData>
  <mergeCells count="2">
    <mergeCell ref="I1:M1"/>
    <mergeCell ref="B31:V31"/>
  </mergeCells>
  <phoneticPr fontId="1" type="noConversion"/>
  <conditionalFormatting sqref="P21:T27">
    <cfRule type="cellIs" dxfId="13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13</xdr:col>
                    <xdr:colOff>104775</xdr:colOff>
                    <xdr:row>3</xdr:row>
                    <xdr:rowOff>47625</xdr:rowOff>
                  </from>
                  <to>
                    <xdr:col>14</xdr:col>
                    <xdr:colOff>561975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er">
                <anchor moveWithCells="1" sizeWithCells="1">
                  <from>
                    <xdr:col>13</xdr:col>
                    <xdr:colOff>114300</xdr:colOff>
                    <xdr:row>6</xdr:row>
                    <xdr:rowOff>0</xdr:rowOff>
                  </from>
                  <to>
                    <xdr:col>14</xdr:col>
                    <xdr:colOff>571500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5">
    <tabColor theme="0" tint="-0.499984740745262"/>
  </sheetPr>
  <dimension ref="A2:X32"/>
  <sheetViews>
    <sheetView topLeftCell="B4" workbookViewId="0">
      <selection activeCell="B27" sqref="B27"/>
    </sheetView>
  </sheetViews>
  <sheetFormatPr defaultRowHeight="15.75"/>
  <cols>
    <col min="1" max="1" width="3.5" bestFit="1" customWidth="1"/>
    <col min="2" max="2" width="5.5" bestFit="1" customWidth="1"/>
    <col min="3" max="3" width="3.875" style="2" customWidth="1"/>
    <col min="4" max="4" width="4.375" style="2" customWidth="1"/>
    <col min="5" max="5" width="3.625" style="2" customWidth="1"/>
    <col min="6" max="6" width="4.125" style="2" customWidth="1"/>
    <col min="7" max="7" width="4.625" bestFit="1" customWidth="1"/>
    <col min="8" max="8" width="8.875" customWidth="1"/>
    <col min="9" max="9" width="11.125" bestFit="1" customWidth="1"/>
    <col min="10" max="10" width="9.5" bestFit="1" customWidth="1"/>
  </cols>
  <sheetData>
    <row r="2" spans="1:24">
      <c r="J2">
        <v>1</v>
      </c>
      <c r="K2">
        <v>2</v>
      </c>
      <c r="L2">
        <v>3</v>
      </c>
      <c r="M2">
        <v>4</v>
      </c>
      <c r="N2">
        <v>5</v>
      </c>
      <c r="O2">
        <v>6</v>
      </c>
    </row>
    <row r="3" spans="1:24">
      <c r="I3" t="s">
        <v>35</v>
      </c>
      <c r="J3" s="1"/>
      <c r="K3" s="1"/>
      <c r="L3" s="1"/>
      <c r="M3" s="1"/>
      <c r="N3" s="1"/>
      <c r="O3" s="1"/>
    </row>
    <row r="4" spans="1:24">
      <c r="I4" t="s">
        <v>36</v>
      </c>
      <c r="J4" s="1"/>
      <c r="K4" s="1"/>
      <c r="L4" s="1"/>
      <c r="M4" s="1"/>
      <c r="N4" s="1"/>
      <c r="O4" s="1"/>
      <c r="Q4" s="11" t="s">
        <v>71</v>
      </c>
      <c r="R4" t="s">
        <v>43</v>
      </c>
      <c r="S4" t="s">
        <v>48</v>
      </c>
      <c r="X4" s="11" t="str">
        <f>Q4</f>
        <v>C</v>
      </c>
    </row>
    <row r="5" spans="1:24">
      <c r="I5" t="s">
        <v>37</v>
      </c>
      <c r="J5" s="1"/>
      <c r="K5" s="1"/>
      <c r="L5" s="1"/>
      <c r="M5" s="1"/>
      <c r="N5" s="1"/>
      <c r="O5" s="1"/>
      <c r="Q5" s="12" t="s">
        <v>72</v>
      </c>
      <c r="R5" t="s">
        <v>47</v>
      </c>
      <c r="S5" s="5" t="s">
        <v>49</v>
      </c>
      <c r="X5" s="11" t="str">
        <f>Q5</f>
        <v>D</v>
      </c>
    </row>
    <row r="6" spans="1:24">
      <c r="I6" t="s">
        <v>38</v>
      </c>
      <c r="J6" s="1"/>
      <c r="K6" s="1"/>
      <c r="L6" s="1"/>
      <c r="M6" s="1"/>
      <c r="N6" s="1"/>
      <c r="O6" s="1"/>
      <c r="Q6" s="9"/>
      <c r="R6" s="6" t="s">
        <v>45</v>
      </c>
      <c r="S6" t="s">
        <v>51</v>
      </c>
      <c r="X6" s="11">
        <f>Q6</f>
        <v>0</v>
      </c>
    </row>
    <row r="7" spans="1:24">
      <c r="J7" s="4">
        <f t="shared" ref="J7:O7" si="0">J3*1+J4*8+J5*4+J6*2</f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Q7" s="9"/>
      <c r="R7" s="6" t="s">
        <v>50</v>
      </c>
      <c r="S7" t="s">
        <v>52</v>
      </c>
      <c r="X7" s="11">
        <f>Q7</f>
        <v>0</v>
      </c>
    </row>
    <row r="8" spans="1:24">
      <c r="C8" s="2" t="s">
        <v>39</v>
      </c>
      <c r="J8" s="3" t="str">
        <f t="shared" ref="J8:O8" si="1">VLOOKUP(J7,$A$10:$G$25,7,FALSE)</f>
        <v>C</v>
      </c>
      <c r="K8" s="3" t="str">
        <f t="shared" si="1"/>
        <v>C</v>
      </c>
      <c r="L8" s="3" t="str">
        <f t="shared" si="1"/>
        <v>C</v>
      </c>
      <c r="M8" s="3" t="str">
        <f t="shared" si="1"/>
        <v>C</v>
      </c>
      <c r="N8" s="3" t="str">
        <f t="shared" si="1"/>
        <v>C</v>
      </c>
      <c r="O8" s="3" t="str">
        <f t="shared" si="1"/>
        <v>C</v>
      </c>
      <c r="Q8" s="9"/>
      <c r="R8" s="6" t="s">
        <v>46</v>
      </c>
      <c r="S8" t="s">
        <v>53</v>
      </c>
      <c r="X8" s="11">
        <f>Q8</f>
        <v>0</v>
      </c>
    </row>
    <row r="9" spans="1:24">
      <c r="A9" t="s">
        <v>44</v>
      </c>
      <c r="C9" s="2" t="s">
        <v>40</v>
      </c>
      <c r="D9" s="2" t="s">
        <v>41</v>
      </c>
      <c r="E9" s="2" t="s">
        <v>38</v>
      </c>
      <c r="F9" s="2" t="s">
        <v>35</v>
      </c>
      <c r="G9" t="s">
        <v>42</v>
      </c>
      <c r="J9" s="13" t="str">
        <f t="shared" ref="J9:O9" si="2">VLOOKUP(J8,$R$4:$X$8,7,FALSE)</f>
        <v>C</v>
      </c>
      <c r="K9" s="13" t="str">
        <f t="shared" si="2"/>
        <v>C</v>
      </c>
      <c r="L9" s="13" t="str">
        <f t="shared" si="2"/>
        <v>C</v>
      </c>
      <c r="M9" s="13" t="str">
        <f t="shared" si="2"/>
        <v>C</v>
      </c>
      <c r="N9" s="13" t="str">
        <f t="shared" si="2"/>
        <v>C</v>
      </c>
      <c r="O9" s="13" t="str">
        <f t="shared" si="2"/>
        <v>C</v>
      </c>
    </row>
    <row r="10" spans="1:24">
      <c r="A10">
        <v>0</v>
      </c>
      <c r="B10" t="str">
        <f>DEC2BIN(A10)</f>
        <v>0</v>
      </c>
      <c r="C10" s="2">
        <v>0</v>
      </c>
      <c r="D10" s="2">
        <v>0</v>
      </c>
      <c r="E10" s="2">
        <v>0</v>
      </c>
      <c r="F10" s="2">
        <v>0</v>
      </c>
      <c r="G10" t="s">
        <v>43</v>
      </c>
    </row>
    <row r="11" spans="1:24">
      <c r="A11">
        <v>1</v>
      </c>
      <c r="B11" t="str">
        <f t="shared" ref="B11:B25" si="3">DEC2BIN(A11)</f>
        <v>1</v>
      </c>
      <c r="C11" s="2">
        <v>0</v>
      </c>
      <c r="D11" s="2">
        <v>0</v>
      </c>
      <c r="E11" s="2">
        <v>0</v>
      </c>
      <c r="F11" s="2">
        <v>1</v>
      </c>
      <c r="G11" t="s">
        <v>54</v>
      </c>
    </row>
    <row r="12" spans="1:24">
      <c r="A12">
        <v>2</v>
      </c>
      <c r="B12" t="str">
        <f t="shared" si="3"/>
        <v>10</v>
      </c>
      <c r="C12" s="2">
        <v>0</v>
      </c>
      <c r="D12" s="2">
        <v>0</v>
      </c>
      <c r="E12" s="2">
        <v>1</v>
      </c>
      <c r="F12" s="2">
        <v>0</v>
      </c>
      <c r="G12" t="s">
        <v>43</v>
      </c>
    </row>
    <row r="13" spans="1:24">
      <c r="A13">
        <v>3</v>
      </c>
      <c r="B13" t="str">
        <f t="shared" si="3"/>
        <v>11</v>
      </c>
      <c r="C13" s="2">
        <v>0</v>
      </c>
      <c r="D13" s="2">
        <v>0</v>
      </c>
      <c r="E13" s="2">
        <v>1</v>
      </c>
      <c r="F13" s="2">
        <v>1</v>
      </c>
      <c r="G13" t="s">
        <v>46</v>
      </c>
      <c r="S13" t="s">
        <v>100</v>
      </c>
    </row>
    <row r="14" spans="1:24">
      <c r="A14">
        <v>4</v>
      </c>
      <c r="B14" t="str">
        <f t="shared" si="3"/>
        <v>100</v>
      </c>
      <c r="C14" s="2">
        <v>0</v>
      </c>
      <c r="D14" s="2">
        <v>1</v>
      </c>
      <c r="E14" s="2">
        <v>0</v>
      </c>
      <c r="F14" s="2">
        <v>0</v>
      </c>
      <c r="G14" t="s">
        <v>45</v>
      </c>
    </row>
    <row r="15" spans="1:24">
      <c r="A15">
        <v>5</v>
      </c>
      <c r="B15" t="str">
        <f t="shared" si="3"/>
        <v>101</v>
      </c>
      <c r="C15" s="2">
        <v>0</v>
      </c>
      <c r="D15" s="2">
        <v>1</v>
      </c>
      <c r="E15" s="2">
        <v>0</v>
      </c>
      <c r="F15" s="2">
        <v>1</v>
      </c>
      <c r="G15" t="s">
        <v>50</v>
      </c>
    </row>
    <row r="16" spans="1:24">
      <c r="A16">
        <v>6</v>
      </c>
      <c r="B16" t="str">
        <f t="shared" si="3"/>
        <v>110</v>
      </c>
      <c r="C16" s="2">
        <v>0</v>
      </c>
      <c r="D16" s="2">
        <v>1</v>
      </c>
      <c r="E16" s="2">
        <v>1</v>
      </c>
      <c r="F16" s="2">
        <v>0</v>
      </c>
      <c r="G16" t="s">
        <v>47</v>
      </c>
    </row>
    <row r="17" spans="1:9">
      <c r="A17">
        <v>7</v>
      </c>
      <c r="B17" t="str">
        <f t="shared" si="3"/>
        <v>111</v>
      </c>
      <c r="C17" s="2">
        <v>0</v>
      </c>
      <c r="D17" s="2">
        <v>1</v>
      </c>
      <c r="E17" s="2">
        <v>1</v>
      </c>
      <c r="F17" s="2">
        <v>1</v>
      </c>
      <c r="G17" t="s">
        <v>50</v>
      </c>
    </row>
    <row r="18" spans="1:9">
      <c r="A18">
        <v>8</v>
      </c>
      <c r="B18" t="str">
        <f t="shared" si="3"/>
        <v>1000</v>
      </c>
      <c r="C18" s="2">
        <v>1</v>
      </c>
      <c r="D18" s="2">
        <v>0</v>
      </c>
      <c r="E18" s="2">
        <v>0</v>
      </c>
      <c r="F18" s="2">
        <v>0</v>
      </c>
      <c r="G18" t="s">
        <v>45</v>
      </c>
    </row>
    <row r="19" spans="1:9">
      <c r="A19">
        <v>9</v>
      </c>
      <c r="B19" t="str">
        <f t="shared" si="3"/>
        <v>1001</v>
      </c>
      <c r="C19" s="2">
        <v>1</v>
      </c>
      <c r="D19" s="2">
        <v>0</v>
      </c>
      <c r="E19" s="2">
        <v>0</v>
      </c>
      <c r="F19" s="2">
        <v>1</v>
      </c>
      <c r="G19" t="s">
        <v>46</v>
      </c>
    </row>
    <row r="20" spans="1:9">
      <c r="A20">
        <v>10</v>
      </c>
      <c r="B20" t="str">
        <f t="shared" si="3"/>
        <v>1010</v>
      </c>
      <c r="C20" s="2">
        <v>1</v>
      </c>
      <c r="D20" s="2">
        <v>0</v>
      </c>
      <c r="E20" s="2">
        <v>1</v>
      </c>
      <c r="F20" s="2">
        <v>0</v>
      </c>
      <c r="G20" t="s">
        <v>43</v>
      </c>
    </row>
    <row r="21" spans="1:9">
      <c r="A21">
        <v>11</v>
      </c>
      <c r="B21" t="str">
        <f t="shared" si="3"/>
        <v>1011</v>
      </c>
      <c r="C21" s="2">
        <v>1</v>
      </c>
      <c r="D21" s="2">
        <v>0</v>
      </c>
      <c r="E21" s="2">
        <v>1</v>
      </c>
      <c r="F21" s="2">
        <v>1</v>
      </c>
      <c r="G21" t="s">
        <v>69</v>
      </c>
    </row>
    <row r="22" spans="1:9">
      <c r="A22">
        <v>12</v>
      </c>
      <c r="B22" t="str">
        <f t="shared" si="3"/>
        <v>1100</v>
      </c>
      <c r="C22" s="2">
        <v>1</v>
      </c>
      <c r="D22" s="2">
        <v>1</v>
      </c>
      <c r="E22" s="2">
        <v>0</v>
      </c>
      <c r="F22" s="2">
        <v>0</v>
      </c>
      <c r="G22" t="s">
        <v>70</v>
      </c>
    </row>
    <row r="23" spans="1:9">
      <c r="A23">
        <v>13</v>
      </c>
      <c r="B23" t="str">
        <f t="shared" si="3"/>
        <v>1101</v>
      </c>
      <c r="C23" s="2">
        <v>1</v>
      </c>
      <c r="D23" s="2">
        <v>1</v>
      </c>
      <c r="E23" s="2">
        <v>0</v>
      </c>
      <c r="F23" s="2">
        <v>1</v>
      </c>
      <c r="G23" t="s">
        <v>70</v>
      </c>
    </row>
    <row r="24" spans="1:9">
      <c r="A24">
        <v>14</v>
      </c>
      <c r="B24" t="str">
        <f t="shared" si="3"/>
        <v>1110</v>
      </c>
      <c r="C24" s="2">
        <v>1</v>
      </c>
      <c r="D24" s="2">
        <v>1</v>
      </c>
      <c r="E24" s="2">
        <v>1</v>
      </c>
      <c r="F24" s="2">
        <v>0</v>
      </c>
      <c r="G24" t="s">
        <v>50</v>
      </c>
    </row>
    <row r="25" spans="1:9">
      <c r="A25">
        <v>15</v>
      </c>
      <c r="B25" t="str">
        <f t="shared" si="3"/>
        <v>1111</v>
      </c>
      <c r="C25" s="2">
        <v>1</v>
      </c>
      <c r="D25" s="2">
        <v>1</v>
      </c>
      <c r="E25" s="2">
        <v>1</v>
      </c>
      <c r="F25" s="2">
        <v>1</v>
      </c>
      <c r="G25" t="s">
        <v>47</v>
      </c>
    </row>
    <row r="27" spans="1:9" ht="46.15">
      <c r="I27" s="17" t="s">
        <v>73</v>
      </c>
    </row>
    <row r="32" spans="1:9">
      <c r="F32" s="2" t="str">
        <f>RIGHT(B32)</f>
        <v/>
      </c>
    </row>
  </sheetData>
  <protectedRanges>
    <protectedRange sqref="J3:O6" name="範圍1"/>
    <protectedRange sqref="Q6:Q8" name="範圍2"/>
  </protectedRange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3">
    <tabColor theme="0" tint="-0.499984740745262"/>
  </sheetPr>
  <dimension ref="A1:V31"/>
  <sheetViews>
    <sheetView workbookViewId="0">
      <selection activeCell="M9" sqref="I3:M9"/>
    </sheetView>
  </sheetViews>
  <sheetFormatPr defaultRowHeight="15.75"/>
  <cols>
    <col min="2" max="2" width="9.5" bestFit="1" customWidth="1"/>
    <col min="9" max="9" width="9.5" bestFit="1" customWidth="1"/>
    <col min="16" max="16" width="9.5" bestFit="1" customWidth="1"/>
  </cols>
  <sheetData>
    <row r="1" spans="1:21">
      <c r="I1" s="91" t="s">
        <v>85</v>
      </c>
      <c r="J1" s="91"/>
      <c r="K1" s="91"/>
      <c r="L1" s="91"/>
      <c r="M1" s="91"/>
    </row>
    <row r="2" spans="1:21">
      <c r="I2">
        <v>1</v>
      </c>
      <c r="J2">
        <v>2</v>
      </c>
      <c r="K2">
        <v>3</v>
      </c>
      <c r="L2">
        <v>4</v>
      </c>
      <c r="M2">
        <v>5</v>
      </c>
      <c r="O2" t="s">
        <v>68</v>
      </c>
    </row>
    <row r="3" spans="1:21" ht="25.5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I3" s="18"/>
      <c r="J3" s="18"/>
      <c r="K3" s="18"/>
      <c r="L3" s="18"/>
      <c r="M3" s="18"/>
      <c r="P3" s="20" t="s">
        <v>0</v>
      </c>
      <c r="Q3" s="20" t="s">
        <v>1</v>
      </c>
      <c r="R3" s="20" t="s">
        <v>2</v>
      </c>
      <c r="S3" s="20" t="s">
        <v>3</v>
      </c>
      <c r="T3" s="19" t="s">
        <v>4</v>
      </c>
      <c r="U3" s="15"/>
    </row>
    <row r="4" spans="1:21" ht="25.5"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I4" s="18"/>
      <c r="J4" s="18"/>
      <c r="K4" s="18"/>
      <c r="L4" s="18"/>
      <c r="M4" s="18"/>
      <c r="P4" s="20" t="s">
        <v>5</v>
      </c>
      <c r="Q4" s="19" t="s">
        <v>6</v>
      </c>
      <c r="R4" s="19" t="s">
        <v>7</v>
      </c>
      <c r="S4" s="19" t="s">
        <v>8</v>
      </c>
      <c r="T4" s="19" t="s">
        <v>9</v>
      </c>
      <c r="U4" s="15"/>
    </row>
    <row r="5" spans="1:21" ht="25.5">
      <c r="B5" s="7" t="s">
        <v>10</v>
      </c>
      <c r="C5" s="7" t="s">
        <v>11</v>
      </c>
      <c r="D5" s="7" t="s">
        <v>12</v>
      </c>
      <c r="E5" s="7" t="s">
        <v>13</v>
      </c>
      <c r="F5" s="7" t="s">
        <v>14</v>
      </c>
      <c r="I5" s="18"/>
      <c r="J5" s="18"/>
      <c r="K5" s="18"/>
      <c r="L5" s="18"/>
      <c r="M5" s="18"/>
      <c r="P5" s="20" t="s">
        <v>10</v>
      </c>
      <c r="Q5" s="20" t="s">
        <v>11</v>
      </c>
      <c r="R5" s="19" t="s">
        <v>12</v>
      </c>
      <c r="S5" s="19" t="s">
        <v>13</v>
      </c>
      <c r="T5" s="20" t="s">
        <v>14</v>
      </c>
      <c r="U5" s="15"/>
    </row>
    <row r="6" spans="1:21" ht="25.5">
      <c r="B6" s="7" t="s">
        <v>15</v>
      </c>
      <c r="C6" s="7" t="s">
        <v>16</v>
      </c>
      <c r="D6" s="7" t="s">
        <v>17</v>
      </c>
      <c r="E6" s="7" t="s">
        <v>18</v>
      </c>
      <c r="F6" s="7" t="s">
        <v>19</v>
      </c>
      <c r="I6" s="18"/>
      <c r="J6" s="18"/>
      <c r="K6" s="18"/>
      <c r="L6" s="18"/>
      <c r="M6" s="18"/>
      <c r="P6" s="20" t="s">
        <v>15</v>
      </c>
      <c r="Q6" s="20" t="s">
        <v>16</v>
      </c>
      <c r="R6" s="19" t="s">
        <v>17</v>
      </c>
      <c r="S6" s="19" t="s">
        <v>18</v>
      </c>
      <c r="T6" s="19" t="s">
        <v>19</v>
      </c>
      <c r="U6" s="15"/>
    </row>
    <row r="7" spans="1:21" ht="25.5">
      <c r="B7" s="7" t="s">
        <v>20</v>
      </c>
      <c r="C7" s="7" t="s">
        <v>21</v>
      </c>
      <c r="D7" s="7" t="s">
        <v>22</v>
      </c>
      <c r="E7" s="7" t="s">
        <v>23</v>
      </c>
      <c r="F7" s="7" t="s">
        <v>24</v>
      </c>
      <c r="I7" s="18"/>
      <c r="J7" s="18"/>
      <c r="K7" s="18"/>
      <c r="L7" s="18"/>
      <c r="M7" s="18"/>
      <c r="P7" s="19" t="s">
        <v>20</v>
      </c>
      <c r="Q7" s="19" t="s">
        <v>21</v>
      </c>
      <c r="R7" s="19" t="s">
        <v>22</v>
      </c>
      <c r="S7" s="19" t="s">
        <v>23</v>
      </c>
      <c r="T7" s="19" t="s">
        <v>24</v>
      </c>
      <c r="U7" s="15"/>
    </row>
    <row r="8" spans="1:21" ht="25.5">
      <c r="B8" s="7" t="s">
        <v>25</v>
      </c>
      <c r="C8" s="7" t="s">
        <v>26</v>
      </c>
      <c r="D8" s="7" t="s">
        <v>27</v>
      </c>
      <c r="E8" s="7" t="s">
        <v>28</v>
      </c>
      <c r="F8" s="7" t="s">
        <v>29</v>
      </c>
      <c r="I8" s="18"/>
      <c r="J8" s="18"/>
      <c r="K8" s="18"/>
      <c r="L8" s="18"/>
      <c r="M8" s="18"/>
      <c r="P8" s="19" t="s">
        <v>82</v>
      </c>
      <c r="Q8" s="19" t="s">
        <v>26</v>
      </c>
      <c r="R8" s="19" t="s">
        <v>27</v>
      </c>
      <c r="S8" s="19" t="s">
        <v>28</v>
      </c>
      <c r="T8" s="20" t="s">
        <v>29</v>
      </c>
      <c r="U8" s="15"/>
    </row>
    <row r="9" spans="1:21" ht="25.5">
      <c r="B9" s="7" t="s">
        <v>30</v>
      </c>
      <c r="C9" s="7" t="s">
        <v>31</v>
      </c>
      <c r="D9" s="7" t="s">
        <v>32</v>
      </c>
      <c r="E9" s="7" t="s">
        <v>33</v>
      </c>
      <c r="F9" s="7" t="s">
        <v>34</v>
      </c>
      <c r="I9" s="18"/>
      <c r="J9" s="18"/>
      <c r="K9" s="18"/>
      <c r="L9" s="18"/>
      <c r="M9" s="18"/>
      <c r="P9" s="20" t="s">
        <v>30</v>
      </c>
      <c r="Q9" s="20" t="s">
        <v>31</v>
      </c>
      <c r="R9" s="20" t="s">
        <v>32</v>
      </c>
      <c r="S9" s="20" t="s">
        <v>33</v>
      </c>
      <c r="T9" s="20" t="s">
        <v>34</v>
      </c>
    </row>
    <row r="10" spans="1:21">
      <c r="H10" t="s">
        <v>78</v>
      </c>
    </row>
    <row r="11" spans="1:21">
      <c r="A11">
        <v>1</v>
      </c>
      <c r="H11">
        <v>2</v>
      </c>
      <c r="O11">
        <v>3</v>
      </c>
    </row>
    <row r="12" spans="1:21">
      <c r="B12" s="7" t="b">
        <f>IF(COUNTIF($I$3:$I$9,MID(B3,$A$11,1))&gt;0,TRUE,FALSE)</f>
        <v>0</v>
      </c>
      <c r="C12" s="7" t="b">
        <f>IF(COUNTIF($I$3:$I$9,MID(C3,$A$11,1))&gt;0,TRUE,FALSE)</f>
        <v>0</v>
      </c>
      <c r="D12" s="7" t="b">
        <f>IF(COUNTIF($I$3:$I$9,MID(D3,$A$11,1))&gt;0,TRUE,FALSE)</f>
        <v>0</v>
      </c>
      <c r="E12" s="7" t="b">
        <f>IF(COUNTIF($I$3:$I$9,MID(E3,$A$11,1))&gt;0,TRUE,FALSE)</f>
        <v>0</v>
      </c>
      <c r="F12" s="7" t="b">
        <f>IF(COUNTIF($I$3:$I$9,MID(F3,$A$11,1))&gt;0,TRUE,FALSE)</f>
        <v>0</v>
      </c>
      <c r="I12" s="7" t="b">
        <f t="shared" ref="I12:I18" si="0">IF(COUNTIF($J$3:$J$9,MID(B3,$H$11,1))&gt;0,TRUE,FALSE)</f>
        <v>0</v>
      </c>
      <c r="J12" s="7" t="b">
        <f t="shared" ref="J12:M18" si="1">IF(COUNTIF($J$3:$J$9,MID(C3,$H$11,1))&gt;0,TRUE,FALSE)</f>
        <v>0</v>
      </c>
      <c r="K12" s="7" t="b">
        <f t="shared" si="1"/>
        <v>0</v>
      </c>
      <c r="L12" s="7" t="b">
        <f t="shared" si="1"/>
        <v>0</v>
      </c>
      <c r="M12" s="7" t="b">
        <f t="shared" si="1"/>
        <v>0</v>
      </c>
      <c r="P12" s="7" t="b">
        <f>IF(COUNTIF($K$3:$K$9,MID(B3,$O$11,1))&gt;0,TRUE,FALSE)</f>
        <v>0</v>
      </c>
      <c r="Q12" s="7" t="b">
        <f t="shared" ref="Q12:T18" si="2">IF(COUNTIF($K$3:$K$9,MID(C3,$O$11,1))&gt;0,TRUE,FALSE)</f>
        <v>0</v>
      </c>
      <c r="R12" s="7" t="b">
        <f t="shared" si="2"/>
        <v>0</v>
      </c>
      <c r="S12" s="7" t="b">
        <f t="shared" si="2"/>
        <v>0</v>
      </c>
      <c r="T12" s="7" t="b">
        <f t="shared" si="2"/>
        <v>0</v>
      </c>
    </row>
    <row r="13" spans="1:21">
      <c r="B13" s="7" t="b">
        <f t="shared" ref="B13:F18" si="3">IF(COUNTIF($I$3:$I$9,MID(B4,$A$11,1))&gt;0,TRUE,FALSE)</f>
        <v>0</v>
      </c>
      <c r="C13" s="7" t="b">
        <f t="shared" si="3"/>
        <v>0</v>
      </c>
      <c r="D13" s="7" t="b">
        <f t="shared" si="3"/>
        <v>0</v>
      </c>
      <c r="E13" s="7" t="b">
        <f t="shared" si="3"/>
        <v>0</v>
      </c>
      <c r="F13" s="7" t="b">
        <f t="shared" si="3"/>
        <v>0</v>
      </c>
      <c r="I13" s="7" t="b">
        <f t="shared" si="0"/>
        <v>0</v>
      </c>
      <c r="J13" s="7" t="b">
        <f t="shared" si="1"/>
        <v>0</v>
      </c>
      <c r="K13" s="7" t="b">
        <f t="shared" si="1"/>
        <v>0</v>
      </c>
      <c r="L13" s="7" t="b">
        <f t="shared" si="1"/>
        <v>0</v>
      </c>
      <c r="M13" s="7" t="b">
        <f t="shared" si="1"/>
        <v>0</v>
      </c>
      <c r="P13" s="7" t="b">
        <f t="shared" ref="P13:P18" si="4">IF(COUNTIF($K$3:$K$9,MID(B4,$O$11,1))&gt;0,TRUE,FALSE)</f>
        <v>0</v>
      </c>
      <c r="Q13" s="7" t="b">
        <f t="shared" si="2"/>
        <v>0</v>
      </c>
      <c r="R13" s="7" t="b">
        <f t="shared" si="2"/>
        <v>0</v>
      </c>
      <c r="S13" s="7" t="b">
        <f t="shared" si="2"/>
        <v>0</v>
      </c>
      <c r="T13" s="7" t="b">
        <f t="shared" si="2"/>
        <v>0</v>
      </c>
    </row>
    <row r="14" spans="1:21">
      <c r="B14" s="7" t="b">
        <f t="shared" si="3"/>
        <v>0</v>
      </c>
      <c r="C14" s="7" t="b">
        <f t="shared" si="3"/>
        <v>0</v>
      </c>
      <c r="D14" s="7" t="b">
        <f t="shared" si="3"/>
        <v>0</v>
      </c>
      <c r="E14" s="7" t="b">
        <f t="shared" si="3"/>
        <v>0</v>
      </c>
      <c r="F14" s="7" t="b">
        <f t="shared" si="3"/>
        <v>0</v>
      </c>
      <c r="I14" s="7" t="b">
        <f t="shared" si="0"/>
        <v>0</v>
      </c>
      <c r="J14" s="7" t="b">
        <f t="shared" si="1"/>
        <v>0</v>
      </c>
      <c r="K14" s="7" t="b">
        <f t="shared" si="1"/>
        <v>0</v>
      </c>
      <c r="L14" s="7" t="b">
        <f t="shared" si="1"/>
        <v>0</v>
      </c>
      <c r="M14" s="7" t="b">
        <f t="shared" si="1"/>
        <v>0</v>
      </c>
      <c r="P14" s="7" t="b">
        <f t="shared" si="4"/>
        <v>0</v>
      </c>
      <c r="Q14" s="7" t="b">
        <f t="shared" si="2"/>
        <v>0</v>
      </c>
      <c r="R14" s="7" t="b">
        <f t="shared" si="2"/>
        <v>0</v>
      </c>
      <c r="S14" s="7" t="b">
        <f t="shared" si="2"/>
        <v>0</v>
      </c>
      <c r="T14" s="7" t="b">
        <f t="shared" si="2"/>
        <v>0</v>
      </c>
    </row>
    <row r="15" spans="1:21">
      <c r="B15" s="7" t="b">
        <f t="shared" si="3"/>
        <v>0</v>
      </c>
      <c r="C15" s="7" t="b">
        <f t="shared" si="3"/>
        <v>0</v>
      </c>
      <c r="D15" s="7" t="b">
        <f t="shared" si="3"/>
        <v>0</v>
      </c>
      <c r="E15" s="7" t="b">
        <f t="shared" si="3"/>
        <v>0</v>
      </c>
      <c r="F15" s="7" t="b">
        <f t="shared" si="3"/>
        <v>0</v>
      </c>
      <c r="I15" s="7" t="b">
        <f t="shared" si="0"/>
        <v>0</v>
      </c>
      <c r="J15" s="7" t="b">
        <f t="shared" si="1"/>
        <v>0</v>
      </c>
      <c r="K15" s="7" t="b">
        <f t="shared" si="1"/>
        <v>0</v>
      </c>
      <c r="L15" s="7" t="b">
        <f t="shared" si="1"/>
        <v>0</v>
      </c>
      <c r="M15" s="7" t="b">
        <f t="shared" si="1"/>
        <v>0</v>
      </c>
      <c r="P15" s="7" t="b">
        <f t="shared" si="4"/>
        <v>0</v>
      </c>
      <c r="Q15" s="7" t="b">
        <f t="shared" si="2"/>
        <v>0</v>
      </c>
      <c r="R15" s="7" t="b">
        <f t="shared" si="2"/>
        <v>0</v>
      </c>
      <c r="S15" s="7" t="b">
        <f t="shared" si="2"/>
        <v>0</v>
      </c>
      <c r="T15" s="7" t="b">
        <f t="shared" si="2"/>
        <v>0</v>
      </c>
    </row>
    <row r="16" spans="1:21">
      <c r="B16" s="7" t="b">
        <f t="shared" si="3"/>
        <v>0</v>
      </c>
      <c r="C16" s="7" t="b">
        <f t="shared" si="3"/>
        <v>0</v>
      </c>
      <c r="D16" s="7" t="b">
        <f t="shared" si="3"/>
        <v>0</v>
      </c>
      <c r="E16" s="7" t="b">
        <f t="shared" si="3"/>
        <v>0</v>
      </c>
      <c r="F16" s="7" t="b">
        <f t="shared" si="3"/>
        <v>0</v>
      </c>
      <c r="I16" s="7" t="b">
        <f t="shared" si="0"/>
        <v>0</v>
      </c>
      <c r="J16" s="7" t="b">
        <f t="shared" si="1"/>
        <v>0</v>
      </c>
      <c r="K16" s="7" t="b">
        <f t="shared" si="1"/>
        <v>0</v>
      </c>
      <c r="L16" s="7" t="b">
        <f t="shared" si="1"/>
        <v>0</v>
      </c>
      <c r="M16" s="7" t="b">
        <f t="shared" si="1"/>
        <v>0</v>
      </c>
      <c r="P16" s="7" t="b">
        <f t="shared" si="4"/>
        <v>0</v>
      </c>
      <c r="Q16" s="7" t="b">
        <f t="shared" si="2"/>
        <v>0</v>
      </c>
      <c r="R16" s="7" t="b">
        <f t="shared" si="2"/>
        <v>0</v>
      </c>
      <c r="S16" s="7" t="b">
        <f t="shared" si="2"/>
        <v>0</v>
      </c>
      <c r="T16" s="7" t="b">
        <f t="shared" si="2"/>
        <v>0</v>
      </c>
    </row>
    <row r="17" spans="1:22">
      <c r="B17" s="7" t="b">
        <f t="shared" si="3"/>
        <v>0</v>
      </c>
      <c r="C17" s="7" t="b">
        <f t="shared" si="3"/>
        <v>0</v>
      </c>
      <c r="D17" s="7" t="b">
        <f t="shared" si="3"/>
        <v>0</v>
      </c>
      <c r="E17" s="7" t="b">
        <f t="shared" si="3"/>
        <v>0</v>
      </c>
      <c r="F17" s="7" t="b">
        <f t="shared" si="3"/>
        <v>0</v>
      </c>
      <c r="I17" s="7" t="b">
        <f t="shared" si="0"/>
        <v>0</v>
      </c>
      <c r="J17" s="7" t="b">
        <f t="shared" si="1"/>
        <v>0</v>
      </c>
      <c r="K17" s="7" t="b">
        <f t="shared" si="1"/>
        <v>0</v>
      </c>
      <c r="L17" s="7" t="b">
        <f t="shared" si="1"/>
        <v>0</v>
      </c>
      <c r="M17" s="7" t="b">
        <f t="shared" si="1"/>
        <v>0</v>
      </c>
      <c r="P17" s="7" t="b">
        <f t="shared" si="4"/>
        <v>0</v>
      </c>
      <c r="Q17" s="7" t="b">
        <f t="shared" si="2"/>
        <v>0</v>
      </c>
      <c r="R17" s="7" t="b">
        <f t="shared" si="2"/>
        <v>0</v>
      </c>
      <c r="S17" s="7" t="b">
        <f t="shared" si="2"/>
        <v>0</v>
      </c>
      <c r="T17" s="7" t="b">
        <f t="shared" si="2"/>
        <v>0</v>
      </c>
    </row>
    <row r="18" spans="1:22">
      <c r="B18" s="7" t="b">
        <f t="shared" si="3"/>
        <v>0</v>
      </c>
      <c r="C18" s="7" t="b">
        <f t="shared" si="3"/>
        <v>0</v>
      </c>
      <c r="D18" s="7" t="b">
        <f t="shared" si="3"/>
        <v>0</v>
      </c>
      <c r="E18" s="7" t="b">
        <f t="shared" si="3"/>
        <v>0</v>
      </c>
      <c r="F18" s="7" t="b">
        <f t="shared" si="3"/>
        <v>0</v>
      </c>
      <c r="I18" s="7" t="b">
        <f t="shared" si="0"/>
        <v>0</v>
      </c>
      <c r="J18" s="7" t="b">
        <f t="shared" si="1"/>
        <v>0</v>
      </c>
      <c r="K18" s="7" t="b">
        <f t="shared" si="1"/>
        <v>0</v>
      </c>
      <c r="L18" s="7" t="b">
        <f t="shared" si="1"/>
        <v>0</v>
      </c>
      <c r="M18" s="7" t="b">
        <f t="shared" si="1"/>
        <v>0</v>
      </c>
      <c r="P18" s="7" t="b">
        <f t="shared" si="4"/>
        <v>0</v>
      </c>
      <c r="Q18" s="7" t="b">
        <f t="shared" si="2"/>
        <v>0</v>
      </c>
      <c r="R18" s="7" t="b">
        <f t="shared" si="2"/>
        <v>0</v>
      </c>
      <c r="S18" s="7" t="b">
        <f t="shared" si="2"/>
        <v>0</v>
      </c>
      <c r="T18" s="7" t="b">
        <f t="shared" si="2"/>
        <v>0</v>
      </c>
    </row>
    <row r="20" spans="1:22">
      <c r="A20">
        <v>4</v>
      </c>
      <c r="H20">
        <v>5</v>
      </c>
      <c r="O20" s="10" t="s">
        <v>42</v>
      </c>
    </row>
    <row r="21" spans="1:22">
      <c r="B21" s="7" t="b">
        <f>IF(COUNTIF($L$3:$L$9,MID(B3,$A$20,1))&gt;0,TRUE,FALSE)</f>
        <v>0</v>
      </c>
      <c r="C21" s="7" t="b">
        <f>IF(COUNTIF($L$3:$L$9,MID(C3,$A$20,1))&gt;0,TRUE,FALSE)</f>
        <v>0</v>
      </c>
      <c r="D21" s="7" t="b">
        <f>IF(COUNTIF($L$3:$L$9,MID(D3,$A$20,1))&gt;0,TRUE,FALSE)</f>
        <v>0</v>
      </c>
      <c r="E21" s="7" t="b">
        <f>IF(COUNTIF($L$3:$L$9,MID(E3,$A$20,1))&gt;0,TRUE,FALSE)</f>
        <v>0</v>
      </c>
      <c r="F21" s="7" t="b">
        <f>IF(COUNTIF($L$3:$L$9,MID(F3,$A$20,1))&gt;0,TRUE,FALSE)</f>
        <v>0</v>
      </c>
      <c r="I21" s="7" t="b">
        <f>IF(COUNTIF($M$3:$M$9,MID(B3,$H$20,1))&gt;0,TRUE,FALSE)</f>
        <v>0</v>
      </c>
      <c r="J21" s="7" t="b">
        <f t="shared" ref="J21:M27" si="5">IF(COUNTIF($M$3:$M$9,MID(C3,$H$20,1))&gt;0,TRUE,FALSE)</f>
        <v>0</v>
      </c>
      <c r="K21" s="7" t="b">
        <f t="shared" si="5"/>
        <v>0</v>
      </c>
      <c r="L21" s="7" t="b">
        <f t="shared" si="5"/>
        <v>0</v>
      </c>
      <c r="M21" s="7" t="b">
        <f t="shared" si="5"/>
        <v>0</v>
      </c>
      <c r="P21" s="16" t="b">
        <v>1</v>
      </c>
      <c r="Q21" s="16" t="b">
        <v>1</v>
      </c>
      <c r="R21" s="16" t="b">
        <v>1</v>
      </c>
      <c r="S21" s="16" t="b">
        <v>1</v>
      </c>
      <c r="T21" s="16" t="b">
        <v>1</v>
      </c>
    </row>
    <row r="22" spans="1:22">
      <c r="B22" s="7" t="b">
        <f t="shared" ref="B22:F27" si="6">IF(COUNTIF($L$3:$L$9,MID(B4,$A$20,1))&gt;0,TRUE,FALSE)</f>
        <v>0</v>
      </c>
      <c r="C22" s="7" t="b">
        <f t="shared" si="6"/>
        <v>0</v>
      </c>
      <c r="D22" s="7" t="b">
        <f t="shared" si="6"/>
        <v>0</v>
      </c>
      <c r="E22" s="7" t="b">
        <f t="shared" si="6"/>
        <v>0</v>
      </c>
      <c r="F22" s="7" t="b">
        <f t="shared" si="6"/>
        <v>0</v>
      </c>
      <c r="I22" s="7" t="b">
        <f t="shared" ref="I22:I27" si="7">IF(COUNTIF($M$3:$M$9,MID(B4,$H$20,1))&gt;0,TRUE,FALSE)</f>
        <v>0</v>
      </c>
      <c r="J22" s="7" t="b">
        <f t="shared" si="5"/>
        <v>0</v>
      </c>
      <c r="K22" s="7" t="b">
        <f t="shared" si="5"/>
        <v>0</v>
      </c>
      <c r="L22" s="7" t="b">
        <f t="shared" si="5"/>
        <v>0</v>
      </c>
      <c r="M22" s="7" t="b">
        <f t="shared" si="5"/>
        <v>0</v>
      </c>
      <c r="P22" s="16" t="b">
        <v>1</v>
      </c>
      <c r="Q22" s="16" t="b">
        <v>1</v>
      </c>
      <c r="R22" s="16" t="b">
        <v>1</v>
      </c>
      <c r="S22" s="16" t="b">
        <v>1</v>
      </c>
      <c r="T22" s="16" t="b">
        <v>1</v>
      </c>
    </row>
    <row r="23" spans="1:22">
      <c r="B23" s="7" t="b">
        <f t="shared" si="6"/>
        <v>0</v>
      </c>
      <c r="C23" s="7" t="b">
        <f t="shared" si="6"/>
        <v>0</v>
      </c>
      <c r="D23" s="7" t="b">
        <f t="shared" si="6"/>
        <v>0</v>
      </c>
      <c r="E23" s="7" t="b">
        <f t="shared" si="6"/>
        <v>0</v>
      </c>
      <c r="F23" s="7" t="b">
        <f t="shared" si="6"/>
        <v>0</v>
      </c>
      <c r="I23" s="7" t="b">
        <f t="shared" si="7"/>
        <v>0</v>
      </c>
      <c r="J23" s="7" t="b">
        <f t="shared" si="5"/>
        <v>0</v>
      </c>
      <c r="K23" s="7" t="b">
        <f t="shared" si="5"/>
        <v>0</v>
      </c>
      <c r="L23" s="7" t="b">
        <f t="shared" si="5"/>
        <v>0</v>
      </c>
      <c r="M23" s="7" t="b">
        <f t="shared" si="5"/>
        <v>0</v>
      </c>
      <c r="P23" s="16" t="b">
        <v>1</v>
      </c>
      <c r="Q23" s="16" t="b">
        <v>1</v>
      </c>
      <c r="R23" s="16" t="b">
        <v>1</v>
      </c>
      <c r="S23" s="16" t="b">
        <v>1</v>
      </c>
      <c r="T23" s="16" t="b">
        <v>1</v>
      </c>
    </row>
    <row r="24" spans="1:22">
      <c r="B24" s="7" t="b">
        <f t="shared" si="6"/>
        <v>0</v>
      </c>
      <c r="C24" s="7" t="b">
        <f t="shared" si="6"/>
        <v>0</v>
      </c>
      <c r="D24" s="7" t="b">
        <f t="shared" si="6"/>
        <v>0</v>
      </c>
      <c r="E24" s="7" t="b">
        <f t="shared" si="6"/>
        <v>0</v>
      </c>
      <c r="F24" s="7" t="b">
        <f t="shared" si="6"/>
        <v>0</v>
      </c>
      <c r="I24" s="7" t="b">
        <f t="shared" si="7"/>
        <v>0</v>
      </c>
      <c r="J24" s="7" t="b">
        <f t="shared" si="5"/>
        <v>0</v>
      </c>
      <c r="K24" s="7" t="b">
        <f t="shared" si="5"/>
        <v>0</v>
      </c>
      <c r="L24" s="7" t="b">
        <f t="shared" si="5"/>
        <v>0</v>
      </c>
      <c r="M24" s="7" t="b">
        <f t="shared" si="5"/>
        <v>0</v>
      </c>
      <c r="P24" s="16" t="b">
        <v>1</v>
      </c>
      <c r="Q24" s="16" t="b">
        <v>1</v>
      </c>
      <c r="R24" s="16" t="b">
        <v>1</v>
      </c>
      <c r="S24" s="16" t="b">
        <v>1</v>
      </c>
      <c r="T24" s="16" t="b">
        <v>1</v>
      </c>
    </row>
    <row r="25" spans="1:22">
      <c r="B25" s="7" t="b">
        <f t="shared" si="6"/>
        <v>0</v>
      </c>
      <c r="C25" s="7" t="b">
        <f t="shared" si="6"/>
        <v>0</v>
      </c>
      <c r="D25" s="7" t="b">
        <f t="shared" si="6"/>
        <v>0</v>
      </c>
      <c r="E25" s="7" t="b">
        <f t="shared" si="6"/>
        <v>0</v>
      </c>
      <c r="F25" s="7" t="b">
        <f t="shared" si="6"/>
        <v>0</v>
      </c>
      <c r="I25" s="7" t="b">
        <f t="shared" si="7"/>
        <v>0</v>
      </c>
      <c r="J25" s="7" t="b">
        <f t="shared" si="5"/>
        <v>0</v>
      </c>
      <c r="K25" s="7" t="b">
        <f t="shared" si="5"/>
        <v>0</v>
      </c>
      <c r="L25" s="7" t="b">
        <f t="shared" si="5"/>
        <v>0</v>
      </c>
      <c r="M25" s="7" t="b">
        <f t="shared" si="5"/>
        <v>0</v>
      </c>
      <c r="P25" s="16" t="b">
        <v>1</v>
      </c>
      <c r="Q25" s="16" t="b">
        <v>1</v>
      </c>
      <c r="R25" s="16" t="b">
        <v>1</v>
      </c>
      <c r="S25" s="16" t="b">
        <v>1</v>
      </c>
      <c r="T25" s="16" t="b">
        <v>1</v>
      </c>
    </row>
    <row r="26" spans="1:22">
      <c r="B26" s="7" t="b">
        <f t="shared" si="6"/>
        <v>0</v>
      </c>
      <c r="C26" s="7" t="b">
        <f t="shared" si="6"/>
        <v>0</v>
      </c>
      <c r="D26" s="7" t="b">
        <f t="shared" si="6"/>
        <v>0</v>
      </c>
      <c r="E26" s="7" t="b">
        <f t="shared" si="6"/>
        <v>0</v>
      </c>
      <c r="F26" s="7" t="b">
        <f t="shared" si="6"/>
        <v>0</v>
      </c>
      <c r="I26" s="7" t="b">
        <f t="shared" si="7"/>
        <v>0</v>
      </c>
      <c r="J26" s="7" t="b">
        <f t="shared" si="5"/>
        <v>0</v>
      </c>
      <c r="K26" s="7" t="b">
        <f t="shared" si="5"/>
        <v>0</v>
      </c>
      <c r="L26" s="7" t="b">
        <f t="shared" si="5"/>
        <v>0</v>
      </c>
      <c r="M26" s="7" t="b">
        <f t="shared" si="5"/>
        <v>0</v>
      </c>
      <c r="P26" s="16" t="b">
        <v>1</v>
      </c>
      <c r="Q26" s="16" t="b">
        <v>1</v>
      </c>
      <c r="R26" s="16" t="b">
        <v>1</v>
      </c>
      <c r="S26" s="16" t="b">
        <v>1</v>
      </c>
      <c r="T26" s="16" t="b">
        <v>1</v>
      </c>
    </row>
    <row r="27" spans="1:22">
      <c r="B27" s="7" t="b">
        <f t="shared" si="6"/>
        <v>0</v>
      </c>
      <c r="C27" s="7" t="b">
        <f t="shared" si="6"/>
        <v>0</v>
      </c>
      <c r="D27" s="7" t="b">
        <f t="shared" si="6"/>
        <v>0</v>
      </c>
      <c r="E27" s="7" t="b">
        <f t="shared" si="6"/>
        <v>0</v>
      </c>
      <c r="F27" s="7" t="b">
        <f t="shared" si="6"/>
        <v>0</v>
      </c>
      <c r="I27" s="7" t="b">
        <f t="shared" si="7"/>
        <v>0</v>
      </c>
      <c r="J27" s="7" t="b">
        <f t="shared" si="5"/>
        <v>0</v>
      </c>
      <c r="K27" s="7" t="b">
        <f t="shared" si="5"/>
        <v>0</v>
      </c>
      <c r="L27" s="7" t="b">
        <f t="shared" si="5"/>
        <v>0</v>
      </c>
      <c r="M27" s="7" t="b">
        <f t="shared" si="5"/>
        <v>0</v>
      </c>
      <c r="P27" s="16" t="b">
        <v>1</v>
      </c>
      <c r="Q27" s="16" t="b">
        <v>1</v>
      </c>
      <c r="R27" s="16" t="b">
        <v>1</v>
      </c>
      <c r="S27" s="16" t="b">
        <v>1</v>
      </c>
      <c r="T27" s="16" t="b">
        <v>1</v>
      </c>
    </row>
    <row r="31" spans="1:22" ht="61.15">
      <c r="B31" s="93" t="s">
        <v>98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</row>
  </sheetData>
  <mergeCells count="2">
    <mergeCell ref="I1:M1"/>
    <mergeCell ref="B31:V31"/>
  </mergeCells>
  <phoneticPr fontId="1" type="noConversion"/>
  <conditionalFormatting sqref="P21:T27">
    <cfRule type="cellIs" dxfId="12" priority="1" operator="equal">
      <formula>TRUE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heckBox1">
          <controlPr defaultSize="0" autoLine="0" r:id="rId5">
            <anchor moveWithCells="1">
              <from>
                <xdr:col>8</xdr:col>
                <xdr:colOff>285750</xdr:colOff>
                <xdr:row>9</xdr:row>
                <xdr:rowOff>28575</xdr:rowOff>
              </from>
              <to>
                <xdr:col>8</xdr:col>
                <xdr:colOff>447675</xdr:colOff>
                <xdr:row>9</xdr:row>
                <xdr:rowOff>190500</xdr:rowOff>
              </to>
            </anchor>
          </controlPr>
        </control>
      </mc:Choice>
      <mc:Fallback>
        <control shapeId="3074" r:id="rId4" name="CheckBox1"/>
      </mc:Fallback>
    </mc:AlternateContent>
    <mc:AlternateContent xmlns:mc="http://schemas.openxmlformats.org/markup-compatibility/2006">
      <mc:Choice Requires="x14">
        <control shapeId="3075" r:id="rId6" name="CheckBox2">
          <controlPr defaultSize="0" autoLine="0" r:id="rId7">
            <anchor moveWithCells="1">
              <from>
                <xdr:col>9</xdr:col>
                <xdr:colOff>314325</xdr:colOff>
                <xdr:row>9</xdr:row>
                <xdr:rowOff>38100</xdr:rowOff>
              </from>
              <to>
                <xdr:col>9</xdr:col>
                <xdr:colOff>476250</xdr:colOff>
                <xdr:row>10</xdr:row>
                <xdr:rowOff>0</xdr:rowOff>
              </to>
            </anchor>
          </controlPr>
        </control>
      </mc:Choice>
      <mc:Fallback>
        <control shapeId="3075" r:id="rId6" name="CheckBox2"/>
      </mc:Fallback>
    </mc:AlternateContent>
    <mc:AlternateContent xmlns:mc="http://schemas.openxmlformats.org/markup-compatibility/2006">
      <mc:Choice Requires="x14">
        <control shapeId="3076" r:id="rId8" name="CheckBox3">
          <controlPr defaultSize="0" autoLine="0" r:id="rId9">
            <anchor moveWithCells="1">
              <from>
                <xdr:col>10</xdr:col>
                <xdr:colOff>304800</xdr:colOff>
                <xdr:row>9</xdr:row>
                <xdr:rowOff>28575</xdr:rowOff>
              </from>
              <to>
                <xdr:col>10</xdr:col>
                <xdr:colOff>466725</xdr:colOff>
                <xdr:row>9</xdr:row>
                <xdr:rowOff>190500</xdr:rowOff>
              </to>
            </anchor>
          </controlPr>
        </control>
      </mc:Choice>
      <mc:Fallback>
        <control shapeId="3076" r:id="rId8" name="CheckBox3"/>
      </mc:Fallback>
    </mc:AlternateContent>
    <mc:AlternateContent xmlns:mc="http://schemas.openxmlformats.org/markup-compatibility/2006">
      <mc:Choice Requires="x14">
        <control shapeId="3077" r:id="rId10" name="CheckBox4">
          <controlPr defaultSize="0" autoLine="0" r:id="rId11">
            <anchor moveWithCells="1">
              <from>
                <xdr:col>11</xdr:col>
                <xdr:colOff>295275</xdr:colOff>
                <xdr:row>9</xdr:row>
                <xdr:rowOff>38100</xdr:rowOff>
              </from>
              <to>
                <xdr:col>11</xdr:col>
                <xdr:colOff>457200</xdr:colOff>
                <xdr:row>10</xdr:row>
                <xdr:rowOff>0</xdr:rowOff>
              </to>
            </anchor>
          </controlPr>
        </control>
      </mc:Choice>
      <mc:Fallback>
        <control shapeId="3077" r:id="rId10" name="CheckBox4"/>
      </mc:Fallback>
    </mc:AlternateContent>
    <mc:AlternateContent xmlns:mc="http://schemas.openxmlformats.org/markup-compatibility/2006">
      <mc:Choice Requires="x14">
        <control shapeId="3078" r:id="rId12" name="CheckBox5">
          <controlPr defaultSize="0" autoLine="0" r:id="rId13">
            <anchor moveWithCells="1">
              <from>
                <xdr:col>12</xdr:col>
                <xdr:colOff>285750</xdr:colOff>
                <xdr:row>9</xdr:row>
                <xdr:rowOff>38100</xdr:rowOff>
              </from>
              <to>
                <xdr:col>12</xdr:col>
                <xdr:colOff>447675</xdr:colOff>
                <xdr:row>10</xdr:row>
                <xdr:rowOff>0</xdr:rowOff>
              </to>
            </anchor>
          </controlPr>
        </control>
      </mc:Choice>
      <mc:Fallback>
        <control shapeId="3078" r:id="rId12" name="CheckBox5"/>
      </mc:Fallback>
    </mc:AlternateContent>
    <mc:AlternateContent xmlns:mc="http://schemas.openxmlformats.org/markup-compatibility/2006">
      <mc:Choice Requires="x14">
        <control shapeId="3073" r:id="rId14" name="Button 1">
          <controlPr defaultSize="0" print="0" autoFill="0" autoPict="0" macro="[0]!reset_V2">
            <anchor moveWithCells="1" sizeWithCells="1">
              <from>
                <xdr:col>13</xdr:col>
                <xdr:colOff>133350</xdr:colOff>
                <xdr:row>3</xdr:row>
                <xdr:rowOff>28575</xdr:rowOff>
              </from>
              <to>
                <xdr:col>14</xdr:col>
                <xdr:colOff>590550</xdr:colOff>
                <xdr:row>4</xdr:row>
                <xdr:rowOff>190500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6">
    <tabColor theme="0" tint="-0.14999847407452621"/>
  </sheetPr>
  <dimension ref="B1:L37"/>
  <sheetViews>
    <sheetView workbookViewId="0">
      <selection activeCell="J15" sqref="J15"/>
    </sheetView>
  </sheetViews>
  <sheetFormatPr defaultRowHeight="15.75"/>
  <cols>
    <col min="8" max="8" width="9" style="23"/>
  </cols>
  <sheetData>
    <row r="1" spans="2:12">
      <c r="B1" s="21"/>
    </row>
    <row r="2" spans="2:12">
      <c r="B2" s="21"/>
      <c r="C2" t="s">
        <v>87</v>
      </c>
      <c r="D2" t="s">
        <v>89</v>
      </c>
      <c r="E2" t="s">
        <v>91</v>
      </c>
      <c r="F2" t="s">
        <v>93</v>
      </c>
      <c r="G2" t="s">
        <v>95</v>
      </c>
      <c r="H2" s="23" t="s">
        <v>86</v>
      </c>
      <c r="I2" t="s">
        <v>88</v>
      </c>
      <c r="J2" t="s">
        <v>90</v>
      </c>
      <c r="K2" t="s">
        <v>92</v>
      </c>
      <c r="L2" t="s">
        <v>94</v>
      </c>
    </row>
    <row r="3" spans="2:12">
      <c r="B3" s="22" t="s">
        <v>0</v>
      </c>
      <c r="C3" t="str">
        <f t="shared" ref="C3:C37" si="0">MID(B3,1,1)</f>
        <v>a</v>
      </c>
      <c r="D3" t="str">
        <f>MID(B3,2,1)</f>
        <v>b</v>
      </c>
      <c r="E3" t="str">
        <f>MID(B3,3,1)</f>
        <v>o</v>
      </c>
      <c r="F3" t="str">
        <f>MID(B3,4,1)</f>
        <v>u</v>
      </c>
      <c r="G3" t="str">
        <f>MID(B3,5,1)</f>
        <v>t</v>
      </c>
      <c r="H3" s="23" t="s">
        <v>55</v>
      </c>
      <c r="I3" t="s">
        <v>56</v>
      </c>
      <c r="J3" t="s">
        <v>66</v>
      </c>
      <c r="K3" t="s">
        <v>67</v>
      </c>
      <c r="L3" t="s">
        <v>64</v>
      </c>
    </row>
    <row r="4" spans="2:12">
      <c r="B4" s="22" t="s">
        <v>1</v>
      </c>
      <c r="C4" t="str">
        <f t="shared" si="0"/>
        <v>a</v>
      </c>
      <c r="D4" t="str">
        <f t="shared" ref="D4:D37" si="1">MID(B4,2,1)</f>
        <v>f</v>
      </c>
      <c r="E4" t="str">
        <f t="shared" ref="E4:E37" si="2">MID(B4,3,1)</f>
        <v>t</v>
      </c>
      <c r="F4" t="str">
        <f t="shared" ref="F4:F37" si="3">MID(B4,4,1)</f>
        <v>e</v>
      </c>
      <c r="G4" t="str">
        <f t="shared" ref="G4:G37" si="4">MID(B4,5,1)</f>
        <v>r</v>
      </c>
      <c r="H4" s="23" t="s">
        <v>55</v>
      </c>
      <c r="I4" t="s">
        <v>59</v>
      </c>
      <c r="J4" t="s">
        <v>64</v>
      </c>
      <c r="K4" t="s">
        <v>61</v>
      </c>
      <c r="L4" t="s">
        <v>63</v>
      </c>
    </row>
    <row r="5" spans="2:12">
      <c r="B5" s="22" t="s">
        <v>2</v>
      </c>
      <c r="C5" t="str">
        <f t="shared" si="0"/>
        <v>a</v>
      </c>
      <c r="D5" t="str">
        <f t="shared" si="1"/>
        <v>g</v>
      </c>
      <c r="E5" t="str">
        <f t="shared" si="2"/>
        <v>a</v>
      </c>
      <c r="F5" t="str">
        <f t="shared" si="3"/>
        <v>i</v>
      </c>
      <c r="G5" t="str">
        <f t="shared" si="4"/>
        <v>n</v>
      </c>
      <c r="H5" s="23" t="s">
        <v>55</v>
      </c>
      <c r="I5" t="s">
        <v>62</v>
      </c>
      <c r="J5" t="s">
        <v>55</v>
      </c>
      <c r="K5" t="s">
        <v>76</v>
      </c>
      <c r="L5" t="s">
        <v>77</v>
      </c>
    </row>
    <row r="6" spans="2:12">
      <c r="B6" s="22" t="s">
        <v>3</v>
      </c>
      <c r="C6" t="str">
        <f t="shared" si="0"/>
        <v>b</v>
      </c>
      <c r="D6" t="str">
        <f t="shared" si="1"/>
        <v>e</v>
      </c>
      <c r="E6" t="str">
        <f t="shared" si="2"/>
        <v>l</v>
      </c>
      <c r="F6" t="str">
        <f t="shared" si="3"/>
        <v>o</v>
      </c>
      <c r="G6" t="str">
        <f t="shared" si="4"/>
        <v>w</v>
      </c>
      <c r="H6" s="23" t="s">
        <v>56</v>
      </c>
      <c r="I6" t="s">
        <v>61</v>
      </c>
      <c r="J6" t="s">
        <v>80</v>
      </c>
      <c r="K6" t="s">
        <v>66</v>
      </c>
      <c r="L6" t="s">
        <v>81</v>
      </c>
    </row>
    <row r="7" spans="2:12">
      <c r="B7" s="22" t="s">
        <v>4</v>
      </c>
      <c r="C7" t="str">
        <f t="shared" si="0"/>
        <v>c</v>
      </c>
      <c r="D7" t="str">
        <f t="shared" si="1"/>
        <v>o</v>
      </c>
      <c r="E7" t="str">
        <f t="shared" si="2"/>
        <v>u</v>
      </c>
      <c r="F7" t="str">
        <f t="shared" si="3"/>
        <v>l</v>
      </c>
      <c r="G7" t="str">
        <f t="shared" si="4"/>
        <v>d</v>
      </c>
      <c r="H7" s="23" t="s">
        <v>57</v>
      </c>
      <c r="I7" t="s">
        <v>66</v>
      </c>
      <c r="J7" t="s">
        <v>67</v>
      </c>
      <c r="K7" t="s">
        <v>80</v>
      </c>
      <c r="L7" t="s">
        <v>60</v>
      </c>
    </row>
    <row r="8" spans="2:12">
      <c r="B8" s="22" t="s">
        <v>5</v>
      </c>
      <c r="C8" t="str">
        <f t="shared" si="0"/>
        <v>e</v>
      </c>
      <c r="D8" t="str">
        <f t="shared" si="1"/>
        <v>v</v>
      </c>
      <c r="E8" t="str">
        <f t="shared" si="2"/>
        <v>e</v>
      </c>
      <c r="F8" t="str">
        <f t="shared" si="3"/>
        <v>r</v>
      </c>
      <c r="G8" t="str">
        <f t="shared" si="4"/>
        <v>y</v>
      </c>
      <c r="H8" s="23" t="s">
        <v>61</v>
      </c>
      <c r="I8" t="s">
        <v>96</v>
      </c>
      <c r="J8" t="s">
        <v>61</v>
      </c>
      <c r="K8" t="s">
        <v>63</v>
      </c>
      <c r="L8" t="s">
        <v>83</v>
      </c>
    </row>
    <row r="9" spans="2:12">
      <c r="B9" s="22" t="s">
        <v>6</v>
      </c>
      <c r="C9" t="str">
        <f t="shared" si="0"/>
        <v>f</v>
      </c>
      <c r="D9" t="str">
        <f t="shared" si="1"/>
        <v>i</v>
      </c>
      <c r="E9" t="str">
        <f t="shared" si="2"/>
        <v>r</v>
      </c>
      <c r="F9" t="str">
        <f t="shared" si="3"/>
        <v>s</v>
      </c>
      <c r="G9" t="str">
        <f t="shared" si="4"/>
        <v>t</v>
      </c>
      <c r="H9" s="23" t="s">
        <v>59</v>
      </c>
      <c r="I9" t="s">
        <v>76</v>
      </c>
      <c r="J9" t="s">
        <v>63</v>
      </c>
      <c r="K9" t="s">
        <v>58</v>
      </c>
      <c r="L9" t="s">
        <v>64</v>
      </c>
    </row>
    <row r="10" spans="2:12">
      <c r="B10" s="22" t="s">
        <v>7</v>
      </c>
      <c r="C10" t="str">
        <f t="shared" si="0"/>
        <v>f</v>
      </c>
      <c r="D10" t="str">
        <f t="shared" si="1"/>
        <v>o</v>
      </c>
      <c r="E10" t="str">
        <f t="shared" si="2"/>
        <v>u</v>
      </c>
      <c r="F10" t="str">
        <f t="shared" si="3"/>
        <v>n</v>
      </c>
      <c r="G10" t="str">
        <f t="shared" si="4"/>
        <v>d</v>
      </c>
      <c r="H10" s="23" t="s">
        <v>59</v>
      </c>
      <c r="I10" t="s">
        <v>66</v>
      </c>
      <c r="J10" t="s">
        <v>67</v>
      </c>
      <c r="K10" t="s">
        <v>77</v>
      </c>
      <c r="L10" t="s">
        <v>60</v>
      </c>
    </row>
    <row r="11" spans="2:12">
      <c r="B11" s="22" t="s">
        <v>8</v>
      </c>
      <c r="C11" t="str">
        <f t="shared" si="0"/>
        <v>g</v>
      </c>
      <c r="D11" t="str">
        <f t="shared" si="1"/>
        <v>r</v>
      </c>
      <c r="E11" t="str">
        <f t="shared" si="2"/>
        <v>e</v>
      </c>
      <c r="F11" t="str">
        <f t="shared" si="3"/>
        <v>a</v>
      </c>
      <c r="G11" t="str">
        <f t="shared" si="4"/>
        <v>t</v>
      </c>
      <c r="H11" s="23" t="s">
        <v>62</v>
      </c>
      <c r="I11" t="s">
        <v>63</v>
      </c>
      <c r="J11" t="s">
        <v>61</v>
      </c>
      <c r="K11" t="s">
        <v>55</v>
      </c>
      <c r="L11" t="s">
        <v>64</v>
      </c>
    </row>
    <row r="12" spans="2:12">
      <c r="B12" s="22" t="s">
        <v>9</v>
      </c>
      <c r="C12" t="str">
        <f t="shared" si="0"/>
        <v>h</v>
      </c>
      <c r="D12" t="str">
        <f t="shared" si="1"/>
        <v>o</v>
      </c>
      <c r="E12" t="str">
        <f t="shared" si="2"/>
        <v>u</v>
      </c>
      <c r="F12" t="str">
        <f t="shared" si="3"/>
        <v>s</v>
      </c>
      <c r="G12" t="str">
        <f t="shared" si="4"/>
        <v>e</v>
      </c>
      <c r="H12" s="23" t="s">
        <v>79</v>
      </c>
      <c r="I12" t="s">
        <v>66</v>
      </c>
      <c r="J12" t="s">
        <v>67</v>
      </c>
      <c r="K12" t="s">
        <v>58</v>
      </c>
      <c r="L12" t="s">
        <v>61</v>
      </c>
    </row>
    <row r="13" spans="2:12">
      <c r="B13" s="22" t="s">
        <v>10</v>
      </c>
      <c r="C13" t="str">
        <f t="shared" si="0"/>
        <v>l</v>
      </c>
      <c r="D13" t="str">
        <f t="shared" si="1"/>
        <v>a</v>
      </c>
      <c r="E13" t="str">
        <f t="shared" si="2"/>
        <v>r</v>
      </c>
      <c r="F13" t="str">
        <f t="shared" si="3"/>
        <v>g</v>
      </c>
      <c r="G13" t="str">
        <f t="shared" si="4"/>
        <v>e</v>
      </c>
      <c r="H13" s="23" t="s">
        <v>80</v>
      </c>
      <c r="I13" t="s">
        <v>55</v>
      </c>
      <c r="J13" t="s">
        <v>63</v>
      </c>
      <c r="K13" t="s">
        <v>62</v>
      </c>
      <c r="L13" t="s">
        <v>61</v>
      </c>
    </row>
    <row r="14" spans="2:12">
      <c r="B14" s="22" t="s">
        <v>11</v>
      </c>
      <c r="C14" t="str">
        <f t="shared" si="0"/>
        <v>l</v>
      </c>
      <c r="D14" t="str">
        <f t="shared" si="1"/>
        <v>e</v>
      </c>
      <c r="E14" t="str">
        <f t="shared" si="2"/>
        <v>a</v>
      </c>
      <c r="F14" t="str">
        <f t="shared" si="3"/>
        <v>r</v>
      </c>
      <c r="G14" t="str">
        <f t="shared" si="4"/>
        <v>n</v>
      </c>
      <c r="H14" s="23" t="s">
        <v>80</v>
      </c>
      <c r="I14" t="s">
        <v>61</v>
      </c>
      <c r="J14" t="s">
        <v>55</v>
      </c>
      <c r="K14" t="s">
        <v>63</v>
      </c>
      <c r="L14" t="s">
        <v>77</v>
      </c>
    </row>
    <row r="15" spans="2:12">
      <c r="B15" s="22" t="s">
        <v>12</v>
      </c>
      <c r="C15" t="str">
        <f t="shared" si="0"/>
        <v>n</v>
      </c>
      <c r="D15" t="str">
        <f t="shared" si="1"/>
        <v>e</v>
      </c>
      <c r="E15" t="str">
        <f t="shared" si="2"/>
        <v>v</v>
      </c>
      <c r="F15" t="str">
        <f t="shared" si="3"/>
        <v>e</v>
      </c>
      <c r="G15" t="str">
        <f t="shared" si="4"/>
        <v>r</v>
      </c>
      <c r="H15" s="23" t="s">
        <v>77</v>
      </c>
      <c r="I15" t="s">
        <v>61</v>
      </c>
      <c r="J15" t="s">
        <v>96</v>
      </c>
      <c r="K15" t="s">
        <v>61</v>
      </c>
      <c r="L15" t="s">
        <v>63</v>
      </c>
    </row>
    <row r="16" spans="2:12">
      <c r="B16" s="22" t="s">
        <v>13</v>
      </c>
      <c r="C16" t="str">
        <f t="shared" si="0"/>
        <v>o</v>
      </c>
      <c r="D16" t="str">
        <f t="shared" si="1"/>
        <v>t</v>
      </c>
      <c r="E16" t="str">
        <f t="shared" si="2"/>
        <v>h</v>
      </c>
      <c r="F16" t="str">
        <f t="shared" si="3"/>
        <v>e</v>
      </c>
      <c r="G16" t="str">
        <f t="shared" si="4"/>
        <v>r</v>
      </c>
      <c r="H16" s="23" t="s">
        <v>66</v>
      </c>
      <c r="I16" t="s">
        <v>64</v>
      </c>
      <c r="J16" t="s">
        <v>79</v>
      </c>
      <c r="K16" t="s">
        <v>61</v>
      </c>
      <c r="L16" t="s">
        <v>63</v>
      </c>
    </row>
    <row r="17" spans="2:12">
      <c r="B17" s="22" t="s">
        <v>14</v>
      </c>
      <c r="C17" t="str">
        <f t="shared" si="0"/>
        <v>p</v>
      </c>
      <c r="D17" t="str">
        <f t="shared" si="1"/>
        <v>l</v>
      </c>
      <c r="E17" t="str">
        <f t="shared" si="2"/>
        <v>a</v>
      </c>
      <c r="F17" t="str">
        <f t="shared" si="3"/>
        <v>c</v>
      </c>
      <c r="G17" t="str">
        <f t="shared" si="4"/>
        <v>e</v>
      </c>
      <c r="H17" s="23" t="s">
        <v>75</v>
      </c>
      <c r="I17" t="s">
        <v>80</v>
      </c>
      <c r="J17" t="s">
        <v>55</v>
      </c>
      <c r="K17" t="s">
        <v>57</v>
      </c>
      <c r="L17" t="s">
        <v>61</v>
      </c>
    </row>
    <row r="18" spans="2:12">
      <c r="B18" s="22" t="s">
        <v>15</v>
      </c>
      <c r="C18" t="str">
        <f t="shared" si="0"/>
        <v>p</v>
      </c>
      <c r="D18" t="str">
        <f t="shared" si="1"/>
        <v>l</v>
      </c>
      <c r="E18" t="str">
        <f t="shared" si="2"/>
        <v>a</v>
      </c>
      <c r="F18" t="str">
        <f t="shared" si="3"/>
        <v>n</v>
      </c>
      <c r="G18" t="str">
        <f t="shared" si="4"/>
        <v>t</v>
      </c>
      <c r="H18" s="23" t="s">
        <v>75</v>
      </c>
      <c r="I18" t="s">
        <v>80</v>
      </c>
      <c r="J18" t="s">
        <v>55</v>
      </c>
      <c r="K18" t="s">
        <v>77</v>
      </c>
      <c r="L18" t="s">
        <v>64</v>
      </c>
    </row>
    <row r="19" spans="2:12">
      <c r="B19" s="22" t="s">
        <v>16</v>
      </c>
      <c r="C19" t="str">
        <f t="shared" si="0"/>
        <v>p</v>
      </c>
      <c r="D19" t="str">
        <f t="shared" si="1"/>
        <v>o</v>
      </c>
      <c r="E19" t="str">
        <f t="shared" si="2"/>
        <v>i</v>
      </c>
      <c r="F19" t="str">
        <f t="shared" si="3"/>
        <v>n</v>
      </c>
      <c r="G19" t="str">
        <f t="shared" si="4"/>
        <v>t</v>
      </c>
      <c r="H19" s="23" t="s">
        <v>75</v>
      </c>
      <c r="I19" t="s">
        <v>66</v>
      </c>
      <c r="J19" t="s">
        <v>76</v>
      </c>
      <c r="K19" t="s">
        <v>77</v>
      </c>
      <c r="L19" t="s">
        <v>64</v>
      </c>
    </row>
    <row r="20" spans="2:12">
      <c r="B20" s="22" t="s">
        <v>17</v>
      </c>
      <c r="C20" t="str">
        <f t="shared" si="0"/>
        <v>r</v>
      </c>
      <c r="D20" t="str">
        <f t="shared" si="1"/>
        <v>i</v>
      </c>
      <c r="E20" t="str">
        <f t="shared" si="2"/>
        <v>g</v>
      </c>
      <c r="F20" t="str">
        <f t="shared" si="3"/>
        <v>h</v>
      </c>
      <c r="G20" t="str">
        <f t="shared" si="4"/>
        <v>t</v>
      </c>
      <c r="H20" s="23" t="s">
        <v>63</v>
      </c>
      <c r="I20" t="s">
        <v>76</v>
      </c>
      <c r="J20" t="s">
        <v>62</v>
      </c>
      <c r="K20" t="s">
        <v>79</v>
      </c>
      <c r="L20" t="s">
        <v>64</v>
      </c>
    </row>
    <row r="21" spans="2:12">
      <c r="B21" s="22" t="s">
        <v>18</v>
      </c>
      <c r="C21" t="str">
        <f t="shared" si="0"/>
        <v>s</v>
      </c>
      <c r="D21" t="str">
        <f t="shared" si="1"/>
        <v>m</v>
      </c>
      <c r="E21" t="str">
        <f t="shared" si="2"/>
        <v>a</v>
      </c>
      <c r="F21" t="str">
        <f t="shared" si="3"/>
        <v>l</v>
      </c>
      <c r="G21" t="str">
        <f t="shared" si="4"/>
        <v>l</v>
      </c>
      <c r="H21" s="23" t="s">
        <v>58</v>
      </c>
      <c r="I21" t="s">
        <v>84</v>
      </c>
      <c r="J21" t="s">
        <v>55</v>
      </c>
      <c r="K21" t="s">
        <v>80</v>
      </c>
      <c r="L21" t="s">
        <v>80</v>
      </c>
    </row>
    <row r="22" spans="2:12">
      <c r="B22" s="22" t="s">
        <v>19</v>
      </c>
      <c r="C22" t="str">
        <f t="shared" si="0"/>
        <v>s</v>
      </c>
      <c r="D22" t="str">
        <f t="shared" si="1"/>
        <v>o</v>
      </c>
      <c r="E22" t="str">
        <f t="shared" si="2"/>
        <v>u</v>
      </c>
      <c r="F22" t="str">
        <f t="shared" si="3"/>
        <v>n</v>
      </c>
      <c r="G22" t="str">
        <f t="shared" si="4"/>
        <v>d</v>
      </c>
      <c r="H22" s="23" t="s">
        <v>58</v>
      </c>
      <c r="I22" t="s">
        <v>66</v>
      </c>
      <c r="J22" t="s">
        <v>67</v>
      </c>
      <c r="K22" t="s">
        <v>77</v>
      </c>
      <c r="L22" t="s">
        <v>60</v>
      </c>
    </row>
    <row r="23" spans="2:12">
      <c r="B23" s="22" t="s">
        <v>20</v>
      </c>
      <c r="C23" t="str">
        <f t="shared" si="0"/>
        <v>s</v>
      </c>
      <c r="D23" t="str">
        <f t="shared" si="1"/>
        <v>p</v>
      </c>
      <c r="E23" t="str">
        <f t="shared" si="2"/>
        <v>e</v>
      </c>
      <c r="F23" t="str">
        <f t="shared" si="3"/>
        <v>l</v>
      </c>
      <c r="G23" t="str">
        <f t="shared" si="4"/>
        <v>l</v>
      </c>
      <c r="H23" s="23" t="s">
        <v>58</v>
      </c>
      <c r="I23" t="s">
        <v>75</v>
      </c>
      <c r="J23" t="s">
        <v>61</v>
      </c>
      <c r="K23" t="s">
        <v>80</v>
      </c>
      <c r="L23" t="s">
        <v>80</v>
      </c>
    </row>
    <row r="24" spans="2:12">
      <c r="B24" s="22" t="s">
        <v>21</v>
      </c>
      <c r="C24" t="str">
        <f t="shared" si="0"/>
        <v>s</v>
      </c>
      <c r="D24" t="str">
        <f t="shared" si="1"/>
        <v>t</v>
      </c>
      <c r="E24" t="str">
        <f t="shared" si="2"/>
        <v>i</v>
      </c>
      <c r="F24" t="str">
        <f t="shared" si="3"/>
        <v>l</v>
      </c>
      <c r="G24" t="str">
        <f t="shared" si="4"/>
        <v>l</v>
      </c>
      <c r="H24" s="23" t="s">
        <v>58</v>
      </c>
      <c r="I24" t="s">
        <v>64</v>
      </c>
      <c r="J24" t="s">
        <v>76</v>
      </c>
      <c r="K24" t="s">
        <v>80</v>
      </c>
      <c r="L24" t="s">
        <v>80</v>
      </c>
    </row>
    <row r="25" spans="2:12">
      <c r="B25" s="22" t="s">
        <v>22</v>
      </c>
      <c r="C25" t="str">
        <f t="shared" si="0"/>
        <v>s</v>
      </c>
      <c r="D25" t="str">
        <f t="shared" si="1"/>
        <v>t</v>
      </c>
      <c r="E25" t="str">
        <f t="shared" si="2"/>
        <v>u</v>
      </c>
      <c r="F25" t="str">
        <f t="shared" si="3"/>
        <v>d</v>
      </c>
      <c r="G25" t="str">
        <f t="shared" si="4"/>
        <v>y</v>
      </c>
      <c r="H25" s="23" t="s">
        <v>58</v>
      </c>
      <c r="I25" t="s">
        <v>64</v>
      </c>
      <c r="J25" t="s">
        <v>67</v>
      </c>
      <c r="K25" t="s">
        <v>60</v>
      </c>
      <c r="L25" t="s">
        <v>83</v>
      </c>
    </row>
    <row r="26" spans="2:12">
      <c r="B26" s="22" t="s">
        <v>23</v>
      </c>
      <c r="C26" t="str">
        <f t="shared" si="0"/>
        <v>t</v>
      </c>
      <c r="D26" t="str">
        <f t="shared" si="1"/>
        <v>h</v>
      </c>
      <c r="E26" t="str">
        <f t="shared" si="2"/>
        <v>e</v>
      </c>
      <c r="F26" t="str">
        <f t="shared" si="3"/>
        <v>i</v>
      </c>
      <c r="G26" t="str">
        <f t="shared" si="4"/>
        <v>r</v>
      </c>
      <c r="H26" s="23" t="s">
        <v>64</v>
      </c>
      <c r="I26" t="s">
        <v>79</v>
      </c>
      <c r="J26" t="s">
        <v>61</v>
      </c>
      <c r="K26" t="s">
        <v>76</v>
      </c>
      <c r="L26" t="s">
        <v>63</v>
      </c>
    </row>
    <row r="27" spans="2:12">
      <c r="B27" s="22" t="s">
        <v>24</v>
      </c>
      <c r="C27" t="str">
        <f t="shared" si="0"/>
        <v>t</v>
      </c>
      <c r="D27" t="str">
        <f t="shared" si="1"/>
        <v>h</v>
      </c>
      <c r="E27" t="str">
        <f t="shared" si="2"/>
        <v>e</v>
      </c>
      <c r="F27" t="str">
        <f t="shared" si="3"/>
        <v>r</v>
      </c>
      <c r="G27" t="str">
        <f t="shared" si="4"/>
        <v>e</v>
      </c>
      <c r="H27" s="23" t="s">
        <v>64</v>
      </c>
      <c r="I27" t="s">
        <v>79</v>
      </c>
      <c r="J27" t="s">
        <v>61</v>
      </c>
      <c r="K27" t="s">
        <v>63</v>
      </c>
      <c r="L27" t="s">
        <v>61</v>
      </c>
    </row>
    <row r="28" spans="2:12">
      <c r="B28" s="22" t="s">
        <v>25</v>
      </c>
      <c r="C28" t="str">
        <f t="shared" si="0"/>
        <v>t</v>
      </c>
      <c r="D28" t="str">
        <f t="shared" si="1"/>
        <v>h</v>
      </c>
      <c r="E28" t="str">
        <f t="shared" si="2"/>
        <v>e</v>
      </c>
      <c r="F28" t="str">
        <f t="shared" si="3"/>
        <v>s</v>
      </c>
      <c r="G28" t="str">
        <f t="shared" si="4"/>
        <v>e</v>
      </c>
      <c r="H28" s="23" t="s">
        <v>64</v>
      </c>
      <c r="I28" t="s">
        <v>79</v>
      </c>
      <c r="J28" t="s">
        <v>61</v>
      </c>
      <c r="K28" t="s">
        <v>58</v>
      </c>
      <c r="L28" t="s">
        <v>61</v>
      </c>
    </row>
    <row r="29" spans="2:12">
      <c r="B29" s="22" t="s">
        <v>26</v>
      </c>
      <c r="C29" t="str">
        <f t="shared" si="0"/>
        <v>t</v>
      </c>
      <c r="D29" t="str">
        <f t="shared" si="1"/>
        <v>h</v>
      </c>
      <c r="E29" t="str">
        <f t="shared" si="2"/>
        <v>i</v>
      </c>
      <c r="F29" t="str">
        <f t="shared" si="3"/>
        <v>n</v>
      </c>
      <c r="G29" t="str">
        <f t="shared" si="4"/>
        <v>g</v>
      </c>
      <c r="H29" s="23" t="s">
        <v>64</v>
      </c>
      <c r="I29" t="s">
        <v>79</v>
      </c>
      <c r="J29" t="s">
        <v>76</v>
      </c>
      <c r="K29" t="s">
        <v>77</v>
      </c>
      <c r="L29" t="s">
        <v>62</v>
      </c>
    </row>
    <row r="30" spans="2:12">
      <c r="B30" s="22" t="s">
        <v>27</v>
      </c>
      <c r="C30" t="str">
        <f t="shared" si="0"/>
        <v>t</v>
      </c>
      <c r="D30" t="str">
        <f t="shared" si="1"/>
        <v>h</v>
      </c>
      <c r="E30" t="str">
        <f t="shared" si="2"/>
        <v>i</v>
      </c>
      <c r="F30" t="str">
        <f t="shared" si="3"/>
        <v>n</v>
      </c>
      <c r="G30" t="str">
        <f t="shared" si="4"/>
        <v>k</v>
      </c>
      <c r="H30" s="23" t="s">
        <v>64</v>
      </c>
      <c r="I30" t="s">
        <v>79</v>
      </c>
      <c r="J30" t="s">
        <v>76</v>
      </c>
      <c r="K30" t="s">
        <v>77</v>
      </c>
      <c r="L30" t="s">
        <v>97</v>
      </c>
    </row>
    <row r="31" spans="2:12">
      <c r="B31" s="22" t="s">
        <v>28</v>
      </c>
      <c r="C31" t="str">
        <f t="shared" si="0"/>
        <v>t</v>
      </c>
      <c r="D31" t="str">
        <f t="shared" si="1"/>
        <v>h</v>
      </c>
      <c r="E31" t="str">
        <f t="shared" si="2"/>
        <v>r</v>
      </c>
      <c r="F31" t="str">
        <f t="shared" si="3"/>
        <v>e</v>
      </c>
      <c r="G31" t="str">
        <f t="shared" si="4"/>
        <v>e</v>
      </c>
      <c r="H31" s="23" t="s">
        <v>64</v>
      </c>
      <c r="I31" t="s">
        <v>79</v>
      </c>
      <c r="J31" t="s">
        <v>63</v>
      </c>
      <c r="K31" t="s">
        <v>61</v>
      </c>
      <c r="L31" t="s">
        <v>61</v>
      </c>
    </row>
    <row r="32" spans="2:12">
      <c r="B32" s="22" t="s">
        <v>29</v>
      </c>
      <c r="C32" t="str">
        <f t="shared" si="0"/>
        <v>w</v>
      </c>
      <c r="D32" t="str">
        <f t="shared" si="1"/>
        <v>a</v>
      </c>
      <c r="E32" t="str">
        <f t="shared" si="2"/>
        <v>t</v>
      </c>
      <c r="F32" t="str">
        <f t="shared" si="3"/>
        <v>e</v>
      </c>
      <c r="G32" t="str">
        <f t="shared" si="4"/>
        <v>r</v>
      </c>
      <c r="H32" s="23" t="s">
        <v>81</v>
      </c>
      <c r="I32" t="s">
        <v>55</v>
      </c>
      <c r="J32" t="s">
        <v>64</v>
      </c>
      <c r="K32" t="s">
        <v>61</v>
      </c>
      <c r="L32" t="s">
        <v>63</v>
      </c>
    </row>
    <row r="33" spans="2:12">
      <c r="B33" s="22" t="s">
        <v>30</v>
      </c>
      <c r="C33" t="str">
        <f t="shared" si="0"/>
        <v>w</v>
      </c>
      <c r="D33" t="str">
        <f t="shared" si="1"/>
        <v>h</v>
      </c>
      <c r="E33" t="str">
        <f t="shared" si="2"/>
        <v>e</v>
      </c>
      <c r="F33" t="str">
        <f t="shared" si="3"/>
        <v>r</v>
      </c>
      <c r="G33" t="str">
        <f t="shared" si="4"/>
        <v>e</v>
      </c>
      <c r="H33" s="23" t="s">
        <v>81</v>
      </c>
      <c r="I33" t="s">
        <v>79</v>
      </c>
      <c r="J33" t="s">
        <v>61</v>
      </c>
      <c r="K33" t="s">
        <v>63</v>
      </c>
      <c r="L33" t="s">
        <v>61</v>
      </c>
    </row>
    <row r="34" spans="2:12">
      <c r="B34" s="22" t="s">
        <v>31</v>
      </c>
      <c r="C34" t="str">
        <f t="shared" si="0"/>
        <v>w</v>
      </c>
      <c r="D34" t="str">
        <f t="shared" si="1"/>
        <v>h</v>
      </c>
      <c r="E34" t="str">
        <f t="shared" si="2"/>
        <v>i</v>
      </c>
      <c r="F34" t="str">
        <f t="shared" si="3"/>
        <v>c</v>
      </c>
      <c r="G34" t="str">
        <f t="shared" si="4"/>
        <v>h</v>
      </c>
      <c r="H34" s="23" t="s">
        <v>81</v>
      </c>
      <c r="I34" t="s">
        <v>79</v>
      </c>
      <c r="J34" t="s">
        <v>76</v>
      </c>
      <c r="K34" t="s">
        <v>57</v>
      </c>
      <c r="L34" t="s">
        <v>79</v>
      </c>
    </row>
    <row r="35" spans="2:12">
      <c r="B35" s="22" t="s">
        <v>32</v>
      </c>
      <c r="C35" t="str">
        <f t="shared" si="0"/>
        <v>w</v>
      </c>
      <c r="D35" t="str">
        <f t="shared" si="1"/>
        <v>o</v>
      </c>
      <c r="E35" t="str">
        <f t="shared" si="2"/>
        <v>r</v>
      </c>
      <c r="F35" t="str">
        <f t="shared" si="3"/>
        <v>l</v>
      </c>
      <c r="G35" t="str">
        <f t="shared" si="4"/>
        <v>d</v>
      </c>
      <c r="H35" s="23" t="s">
        <v>81</v>
      </c>
      <c r="I35" t="s">
        <v>66</v>
      </c>
      <c r="J35" t="s">
        <v>63</v>
      </c>
      <c r="K35" t="s">
        <v>80</v>
      </c>
      <c r="L35" t="s">
        <v>60</v>
      </c>
    </row>
    <row r="36" spans="2:12">
      <c r="B36" s="22" t="s">
        <v>33</v>
      </c>
      <c r="C36" t="str">
        <f t="shared" si="0"/>
        <v>w</v>
      </c>
      <c r="D36" t="str">
        <f t="shared" si="1"/>
        <v>o</v>
      </c>
      <c r="E36" t="str">
        <f t="shared" si="2"/>
        <v>u</v>
      </c>
      <c r="F36" t="str">
        <f t="shared" si="3"/>
        <v>l</v>
      </c>
      <c r="G36" t="str">
        <f t="shared" si="4"/>
        <v>d</v>
      </c>
      <c r="H36" s="23" t="s">
        <v>81</v>
      </c>
      <c r="I36" t="s">
        <v>66</v>
      </c>
      <c r="J36" t="s">
        <v>67</v>
      </c>
      <c r="K36" t="s">
        <v>80</v>
      </c>
      <c r="L36" t="s">
        <v>60</v>
      </c>
    </row>
    <row r="37" spans="2:12">
      <c r="B37" s="22" t="s">
        <v>34</v>
      </c>
      <c r="C37" t="str">
        <f t="shared" si="0"/>
        <v>w</v>
      </c>
      <c r="D37" t="str">
        <f t="shared" si="1"/>
        <v>r</v>
      </c>
      <c r="E37" t="str">
        <f t="shared" si="2"/>
        <v>i</v>
      </c>
      <c r="F37" t="str">
        <f t="shared" si="3"/>
        <v>t</v>
      </c>
      <c r="G37" t="str">
        <f t="shared" si="4"/>
        <v>e</v>
      </c>
      <c r="H37" s="23" t="s">
        <v>81</v>
      </c>
      <c r="I37" t="s">
        <v>63</v>
      </c>
      <c r="J37" t="s">
        <v>76</v>
      </c>
      <c r="K37" t="s">
        <v>64</v>
      </c>
      <c r="L37" t="s">
        <v>61</v>
      </c>
    </row>
  </sheetData>
  <phoneticPr fontId="1" type="noConversion"/>
  <conditionalFormatting sqref="I3:I37">
    <cfRule type="uniqueValues" dxfId="11" priority="4"/>
    <cfRule type="uniqueValues" dxfId="10" priority="5"/>
  </conditionalFormatting>
  <conditionalFormatting sqref="J3:J37">
    <cfRule type="uniqueValues" dxfId="9" priority="6"/>
  </conditionalFormatting>
  <conditionalFormatting sqref="H3:H37">
    <cfRule type="uniqueValues" dxfId="8" priority="3"/>
  </conditionalFormatting>
  <conditionalFormatting sqref="K3:K37">
    <cfRule type="uniqueValues" dxfId="7" priority="2"/>
  </conditionalFormatting>
  <conditionalFormatting sqref="L3:L37">
    <cfRule type="uniqueValues" dxfId="6" priority="1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8">
    <tabColor theme="0" tint="-0.14999847407452621"/>
  </sheetPr>
  <dimension ref="B2:O55"/>
  <sheetViews>
    <sheetView topLeftCell="B30" workbookViewId="0">
      <selection activeCell="O54" sqref="J3:O54"/>
    </sheetView>
  </sheetViews>
  <sheetFormatPr defaultRowHeight="15.75"/>
  <cols>
    <col min="9" max="9" width="9" style="23"/>
  </cols>
  <sheetData>
    <row r="2" spans="2:15">
      <c r="C2" t="s">
        <v>87</v>
      </c>
      <c r="D2" t="s">
        <v>89</v>
      </c>
      <c r="E2" t="s">
        <v>91</v>
      </c>
      <c r="F2" t="s">
        <v>93</v>
      </c>
      <c r="G2" t="s">
        <v>95</v>
      </c>
      <c r="H2" t="s">
        <v>288</v>
      </c>
    </row>
    <row r="3" spans="2:15">
      <c r="B3" s="39" t="s">
        <v>236</v>
      </c>
      <c r="C3" s="23" t="str">
        <f>MID($B3,1,1)</f>
        <v>a</v>
      </c>
      <c r="D3" t="str">
        <f>MID($B3,2,1)</f>
        <v>d</v>
      </c>
      <c r="E3" t="str">
        <f>MID($B3,3,1)</f>
        <v>j</v>
      </c>
      <c r="F3" t="str">
        <f>MID($B3,4,1)</f>
        <v>u</v>
      </c>
      <c r="G3" t="str">
        <f>MID($B3,5,1)</f>
        <v>s</v>
      </c>
      <c r="H3" t="str">
        <f>MID($B3,6,1)</f>
        <v>t</v>
      </c>
      <c r="J3" t="str">
        <f t="shared" ref="J3:O3" si="0">C3</f>
        <v>a</v>
      </c>
      <c r="K3" t="str">
        <f t="shared" si="0"/>
        <v>d</v>
      </c>
      <c r="L3" t="str">
        <f t="shared" si="0"/>
        <v>j</v>
      </c>
      <c r="M3" t="str">
        <f t="shared" si="0"/>
        <v>u</v>
      </c>
      <c r="N3" t="str">
        <f t="shared" si="0"/>
        <v>s</v>
      </c>
      <c r="O3" t="str">
        <f t="shared" si="0"/>
        <v>t</v>
      </c>
    </row>
    <row r="4" spans="2:15">
      <c r="B4" s="39" t="s">
        <v>237</v>
      </c>
      <c r="C4" s="23" t="str">
        <f t="shared" ref="C4:C55" si="1">MID($B4,1,1)</f>
        <v>a</v>
      </c>
      <c r="D4" t="str">
        <f t="shared" ref="D4:D55" si="2">MID($B4,2,1)</f>
        <v>n</v>
      </c>
      <c r="E4" t="str">
        <f t="shared" ref="E4:E55" si="3">MID($B4,3,1)</f>
        <v>c</v>
      </c>
      <c r="F4" t="str">
        <f t="shared" ref="F4:F55" si="4">MID($B4,4,1)</f>
        <v>h</v>
      </c>
      <c r="G4" t="str">
        <f t="shared" ref="G4:G55" si="5">MID($B4,5,1)</f>
        <v>o</v>
      </c>
      <c r="H4" t="str">
        <f t="shared" ref="H4:H55" si="6">MID($B4,6,1)</f>
        <v>r</v>
      </c>
      <c r="J4" t="str">
        <f t="shared" ref="J4:J54" si="7">C4</f>
        <v>a</v>
      </c>
      <c r="K4" t="str">
        <f t="shared" ref="K4:K54" si="8">D4</f>
        <v>n</v>
      </c>
      <c r="L4" t="str">
        <f t="shared" ref="L4:L54" si="9">E4</f>
        <v>c</v>
      </c>
      <c r="M4" t="str">
        <f t="shared" ref="M4:M54" si="10">F4</f>
        <v>h</v>
      </c>
      <c r="N4" t="str">
        <f t="shared" ref="N4:N54" si="11">G4</f>
        <v>o</v>
      </c>
      <c r="O4" t="str">
        <f t="shared" ref="O4:O54" si="12">H4</f>
        <v>r</v>
      </c>
    </row>
    <row r="5" spans="2:15">
      <c r="B5" s="34" t="s">
        <v>238</v>
      </c>
      <c r="C5" s="23" t="str">
        <f t="shared" si="1"/>
        <v>b</v>
      </c>
      <c r="D5" t="str">
        <f t="shared" si="2"/>
        <v>o</v>
      </c>
      <c r="E5" t="str">
        <f t="shared" si="3"/>
        <v>w</v>
      </c>
      <c r="F5" t="str">
        <f t="shared" si="4"/>
        <v>t</v>
      </c>
      <c r="G5" t="str">
        <f t="shared" si="5"/>
        <v>i</v>
      </c>
      <c r="H5" t="str">
        <f t="shared" si="6"/>
        <v>e</v>
      </c>
      <c r="J5" t="str">
        <f t="shared" si="7"/>
        <v>b</v>
      </c>
      <c r="K5" t="str">
        <f t="shared" si="8"/>
        <v>o</v>
      </c>
      <c r="L5" t="str">
        <f t="shared" si="9"/>
        <v>w</v>
      </c>
      <c r="M5" t="str">
        <f t="shared" si="10"/>
        <v>t</v>
      </c>
      <c r="N5" t="str">
        <f t="shared" si="11"/>
        <v>i</v>
      </c>
      <c r="O5" t="str">
        <f t="shared" si="12"/>
        <v>e</v>
      </c>
    </row>
    <row r="6" spans="2:15">
      <c r="B6" s="34" t="s">
        <v>239</v>
      </c>
      <c r="C6" s="23" t="str">
        <f t="shared" si="1"/>
        <v>b</v>
      </c>
      <c r="D6" t="str">
        <f t="shared" si="2"/>
        <v>u</v>
      </c>
      <c r="E6" t="str">
        <f t="shared" si="3"/>
        <v>t</v>
      </c>
      <c r="F6" t="str">
        <f t="shared" si="4"/>
        <v>t</v>
      </c>
      <c r="G6" t="str">
        <f t="shared" si="5"/>
        <v>o</v>
      </c>
      <c r="H6" t="str">
        <f t="shared" si="6"/>
        <v>n</v>
      </c>
      <c r="J6" t="str">
        <f t="shared" si="7"/>
        <v>b</v>
      </c>
      <c r="K6" t="str">
        <f t="shared" si="8"/>
        <v>u</v>
      </c>
      <c r="L6" t="str">
        <f t="shared" si="9"/>
        <v>t</v>
      </c>
      <c r="M6" t="str">
        <f t="shared" si="10"/>
        <v>t</v>
      </c>
      <c r="N6" t="str">
        <f t="shared" si="11"/>
        <v>o</v>
      </c>
      <c r="O6" t="str">
        <f t="shared" si="12"/>
        <v>n</v>
      </c>
    </row>
    <row r="7" spans="2:15">
      <c r="B7" s="34" t="s">
        <v>240</v>
      </c>
      <c r="C7" s="23" t="str">
        <f t="shared" si="1"/>
        <v>c</v>
      </c>
      <c r="D7" t="str">
        <f t="shared" si="2"/>
        <v>i</v>
      </c>
      <c r="E7" t="str">
        <f t="shared" si="3"/>
        <v>p</v>
      </c>
      <c r="F7" t="str">
        <f t="shared" si="4"/>
        <v>h</v>
      </c>
      <c r="G7" t="str">
        <f t="shared" si="5"/>
        <v>e</v>
      </c>
      <c r="H7" t="str">
        <f t="shared" si="6"/>
        <v>r</v>
      </c>
      <c r="J7" t="str">
        <f t="shared" si="7"/>
        <v>c</v>
      </c>
      <c r="K7" t="str">
        <f t="shared" si="8"/>
        <v>i</v>
      </c>
      <c r="L7" t="str">
        <f t="shared" si="9"/>
        <v>p</v>
      </c>
      <c r="M7" t="str">
        <f t="shared" si="10"/>
        <v>h</v>
      </c>
      <c r="N7" t="str">
        <f t="shared" si="11"/>
        <v>e</v>
      </c>
      <c r="O7" t="str">
        <f t="shared" si="12"/>
        <v>r</v>
      </c>
    </row>
    <row r="8" spans="2:15">
      <c r="B8" s="34" t="s">
        <v>241</v>
      </c>
      <c r="C8" s="23" t="str">
        <f t="shared" si="1"/>
        <v>c</v>
      </c>
      <c r="D8" t="str">
        <f t="shared" si="2"/>
        <v>o</v>
      </c>
      <c r="E8" t="str">
        <f t="shared" si="3"/>
        <v>r</v>
      </c>
      <c r="F8" t="str">
        <f t="shared" si="4"/>
        <v>n</v>
      </c>
      <c r="G8" t="str">
        <f t="shared" si="5"/>
        <v>e</v>
      </c>
      <c r="H8" t="str">
        <f t="shared" si="6"/>
        <v>r</v>
      </c>
      <c r="J8" t="str">
        <f t="shared" si="7"/>
        <v>c</v>
      </c>
      <c r="K8" t="str">
        <f t="shared" si="8"/>
        <v>o</v>
      </c>
      <c r="L8" t="str">
        <f t="shared" si="9"/>
        <v>r</v>
      </c>
      <c r="M8" t="str">
        <f t="shared" si="10"/>
        <v>n</v>
      </c>
      <c r="N8" t="str">
        <f t="shared" si="11"/>
        <v>e</v>
      </c>
      <c r="O8" t="str">
        <f t="shared" si="12"/>
        <v>r</v>
      </c>
    </row>
    <row r="9" spans="2:15">
      <c r="B9" s="34" t="s">
        <v>242</v>
      </c>
      <c r="C9" s="23" t="str">
        <f t="shared" si="1"/>
        <v>d</v>
      </c>
      <c r="D9" t="str">
        <f t="shared" si="2"/>
        <v>a</v>
      </c>
      <c r="E9" t="str">
        <f t="shared" si="3"/>
        <v>m</v>
      </c>
      <c r="F9" t="str">
        <f t="shared" si="4"/>
        <v>p</v>
      </c>
      <c r="G9" t="str">
        <f t="shared" si="5"/>
        <v>e</v>
      </c>
      <c r="H9" t="str">
        <f t="shared" si="6"/>
        <v>n</v>
      </c>
      <c r="J9" t="str">
        <f t="shared" si="7"/>
        <v>d</v>
      </c>
      <c r="K9" t="str">
        <f t="shared" si="8"/>
        <v>a</v>
      </c>
      <c r="L9" t="str">
        <f t="shared" si="9"/>
        <v>m</v>
      </c>
      <c r="M9" t="str">
        <f t="shared" si="10"/>
        <v>p</v>
      </c>
      <c r="N9" t="str">
        <f t="shared" si="11"/>
        <v>e</v>
      </c>
      <c r="O9" t="str">
        <f t="shared" si="12"/>
        <v>n</v>
      </c>
    </row>
    <row r="10" spans="2:15">
      <c r="B10" s="34" t="s">
        <v>243</v>
      </c>
      <c r="C10" s="23" t="str">
        <f t="shared" si="1"/>
        <v>d</v>
      </c>
      <c r="D10" t="str">
        <f t="shared" si="2"/>
        <v>e</v>
      </c>
      <c r="E10" t="str">
        <f t="shared" si="3"/>
        <v>m</v>
      </c>
      <c r="F10" t="str">
        <f t="shared" si="4"/>
        <v>o</v>
      </c>
      <c r="G10" t="str">
        <f t="shared" si="5"/>
        <v>t</v>
      </c>
      <c r="H10" t="str">
        <f t="shared" si="6"/>
        <v>e</v>
      </c>
      <c r="J10" t="str">
        <f t="shared" si="7"/>
        <v>d</v>
      </c>
      <c r="K10" t="str">
        <f t="shared" si="8"/>
        <v>e</v>
      </c>
      <c r="L10" t="str">
        <f t="shared" si="9"/>
        <v>m</v>
      </c>
      <c r="M10" t="str">
        <f t="shared" si="10"/>
        <v>o</v>
      </c>
      <c r="N10" t="str">
        <f t="shared" si="11"/>
        <v>t</v>
      </c>
      <c r="O10" t="str">
        <f t="shared" si="12"/>
        <v>e</v>
      </c>
    </row>
    <row r="11" spans="2:15">
      <c r="B11" s="34" t="s">
        <v>244</v>
      </c>
      <c r="C11" s="23" t="str">
        <f t="shared" si="1"/>
        <v>e</v>
      </c>
      <c r="D11" t="str">
        <f t="shared" si="2"/>
        <v>n</v>
      </c>
      <c r="E11" t="str">
        <f t="shared" si="3"/>
        <v>l</v>
      </c>
      <c r="F11" t="str">
        <f t="shared" si="4"/>
        <v>i</v>
      </c>
      <c r="G11" t="str">
        <f t="shared" si="5"/>
        <v>s</v>
      </c>
      <c r="H11" t="str">
        <f t="shared" si="6"/>
        <v>t</v>
      </c>
      <c r="J11" t="str">
        <f t="shared" si="7"/>
        <v>e</v>
      </c>
      <c r="K11" t="str">
        <f t="shared" si="8"/>
        <v>n</v>
      </c>
      <c r="L11" t="str">
        <f t="shared" si="9"/>
        <v>l</v>
      </c>
      <c r="M11" t="str">
        <f t="shared" si="10"/>
        <v>i</v>
      </c>
      <c r="N11" t="str">
        <f t="shared" si="11"/>
        <v>s</v>
      </c>
      <c r="O11" t="str">
        <f t="shared" si="12"/>
        <v>t</v>
      </c>
    </row>
    <row r="12" spans="2:15">
      <c r="B12" s="34" t="s">
        <v>245</v>
      </c>
      <c r="C12" s="23" t="str">
        <f t="shared" si="1"/>
        <v>e</v>
      </c>
      <c r="D12" t="str">
        <f t="shared" si="2"/>
        <v>v</v>
      </c>
      <c r="E12" t="str">
        <f t="shared" si="3"/>
        <v>o</v>
      </c>
      <c r="F12" t="str">
        <f t="shared" si="4"/>
        <v>l</v>
      </c>
      <c r="G12" t="str">
        <f t="shared" si="5"/>
        <v>v</v>
      </c>
      <c r="H12" t="str">
        <f t="shared" si="6"/>
        <v>e</v>
      </c>
      <c r="J12" t="str">
        <f t="shared" si="7"/>
        <v>e</v>
      </c>
      <c r="K12" t="str">
        <f t="shared" si="8"/>
        <v>v</v>
      </c>
      <c r="L12" t="str">
        <f t="shared" si="9"/>
        <v>o</v>
      </c>
      <c r="M12" t="str">
        <f t="shared" si="10"/>
        <v>l</v>
      </c>
      <c r="N12" t="str">
        <f t="shared" si="11"/>
        <v>v</v>
      </c>
      <c r="O12" t="str">
        <f t="shared" si="12"/>
        <v>e</v>
      </c>
    </row>
    <row r="13" spans="2:15">
      <c r="B13" s="34" t="s">
        <v>247</v>
      </c>
      <c r="C13" s="23" t="str">
        <f t="shared" si="1"/>
        <v>f</v>
      </c>
      <c r="D13" t="str">
        <f t="shared" si="2"/>
        <v>i</v>
      </c>
      <c r="E13" t="str">
        <f t="shared" si="3"/>
        <v>n</v>
      </c>
      <c r="F13" t="str">
        <f t="shared" si="4"/>
        <v>i</v>
      </c>
      <c r="G13" t="str">
        <f t="shared" si="5"/>
        <v>s</v>
      </c>
      <c r="H13" t="str">
        <f t="shared" si="6"/>
        <v>h</v>
      </c>
      <c r="J13" t="str">
        <f t="shared" si="7"/>
        <v>f</v>
      </c>
      <c r="K13" t="str">
        <f t="shared" si="8"/>
        <v>i</v>
      </c>
      <c r="L13" t="str">
        <f t="shared" si="9"/>
        <v>n</v>
      </c>
      <c r="M13" t="str">
        <f t="shared" si="10"/>
        <v>i</v>
      </c>
      <c r="N13" t="str">
        <f t="shared" si="11"/>
        <v>s</v>
      </c>
      <c r="O13" t="str">
        <f t="shared" si="12"/>
        <v>h</v>
      </c>
    </row>
    <row r="14" spans="2:15">
      <c r="B14" s="34" t="s">
        <v>246</v>
      </c>
      <c r="C14" s="23" t="str">
        <f t="shared" si="1"/>
        <v>f</v>
      </c>
      <c r="D14" t="str">
        <f t="shared" si="2"/>
        <v>o</v>
      </c>
      <c r="E14" t="str">
        <f t="shared" si="3"/>
        <v>r</v>
      </c>
      <c r="F14" t="str">
        <f t="shared" si="4"/>
        <v>g</v>
      </c>
      <c r="G14" t="str">
        <f t="shared" si="5"/>
        <v>e</v>
      </c>
      <c r="H14" t="str">
        <f t="shared" si="6"/>
        <v>t</v>
      </c>
      <c r="J14" t="str">
        <f t="shared" si="7"/>
        <v>f</v>
      </c>
      <c r="K14" t="str">
        <f t="shared" si="8"/>
        <v>o</v>
      </c>
      <c r="L14" t="str">
        <f t="shared" si="9"/>
        <v>r</v>
      </c>
      <c r="M14" t="str">
        <f t="shared" si="10"/>
        <v>g</v>
      </c>
      <c r="N14" t="str">
        <f t="shared" si="11"/>
        <v>e</v>
      </c>
      <c r="O14" t="str">
        <f t="shared" si="12"/>
        <v>t</v>
      </c>
    </row>
    <row r="15" spans="2:15">
      <c r="B15" s="34" t="s">
        <v>248</v>
      </c>
      <c r="C15" s="23" t="str">
        <f t="shared" si="1"/>
        <v>g</v>
      </c>
      <c r="D15" t="str">
        <f t="shared" si="2"/>
        <v>e</v>
      </c>
      <c r="E15" t="str">
        <f t="shared" si="3"/>
        <v>y</v>
      </c>
      <c r="F15" t="str">
        <f t="shared" si="4"/>
        <v>s</v>
      </c>
      <c r="G15" t="str">
        <f t="shared" si="5"/>
        <v>e</v>
      </c>
      <c r="H15" t="str">
        <f t="shared" si="6"/>
        <v>r</v>
      </c>
      <c r="J15" t="str">
        <f t="shared" si="7"/>
        <v>g</v>
      </c>
      <c r="K15" t="str">
        <f t="shared" si="8"/>
        <v>e</v>
      </c>
      <c r="L15" t="str">
        <f t="shared" si="9"/>
        <v>y</v>
      </c>
      <c r="M15" t="str">
        <f t="shared" si="10"/>
        <v>s</v>
      </c>
      <c r="N15" t="str">
        <f t="shared" si="11"/>
        <v>e</v>
      </c>
      <c r="O15" t="str">
        <f t="shared" si="12"/>
        <v>r</v>
      </c>
    </row>
    <row r="16" spans="2:15">
      <c r="B16" s="34" t="s">
        <v>249</v>
      </c>
      <c r="C16" s="23" t="str">
        <f t="shared" si="1"/>
        <v>g</v>
      </c>
      <c r="D16" t="str">
        <f t="shared" si="2"/>
        <v>l</v>
      </c>
      <c r="E16" t="str">
        <f t="shared" si="3"/>
        <v>o</v>
      </c>
      <c r="F16" t="str">
        <f t="shared" si="4"/>
        <v>b</v>
      </c>
      <c r="G16" t="str">
        <f t="shared" si="5"/>
        <v>a</v>
      </c>
      <c r="H16" t="str">
        <f t="shared" si="6"/>
        <v>l</v>
      </c>
      <c r="J16" t="str">
        <f t="shared" si="7"/>
        <v>g</v>
      </c>
      <c r="K16" t="str">
        <f t="shared" si="8"/>
        <v>l</v>
      </c>
      <c r="L16" t="str">
        <f t="shared" si="9"/>
        <v>o</v>
      </c>
      <c r="M16" t="str">
        <f t="shared" si="10"/>
        <v>b</v>
      </c>
      <c r="N16" t="str">
        <f t="shared" si="11"/>
        <v>a</v>
      </c>
      <c r="O16" t="str">
        <f t="shared" si="12"/>
        <v>l</v>
      </c>
    </row>
    <row r="17" spans="2:15">
      <c r="B17" s="34" t="s">
        <v>250</v>
      </c>
      <c r="C17" s="23" t="str">
        <f t="shared" si="1"/>
        <v>h</v>
      </c>
      <c r="D17" t="str">
        <f t="shared" si="2"/>
        <v>a</v>
      </c>
      <c r="E17" t="str">
        <f t="shared" si="3"/>
        <v>m</v>
      </c>
      <c r="F17" t="str">
        <f t="shared" si="4"/>
        <v>m</v>
      </c>
      <c r="G17" t="str">
        <f t="shared" si="5"/>
        <v>e</v>
      </c>
      <c r="H17" t="str">
        <f t="shared" si="6"/>
        <v>r</v>
      </c>
      <c r="J17" t="str">
        <f t="shared" si="7"/>
        <v>h</v>
      </c>
      <c r="K17" t="str">
        <f t="shared" si="8"/>
        <v>a</v>
      </c>
      <c r="L17" t="str">
        <f t="shared" si="9"/>
        <v>m</v>
      </c>
      <c r="M17" t="str">
        <f t="shared" si="10"/>
        <v>m</v>
      </c>
      <c r="N17" t="str">
        <f t="shared" si="11"/>
        <v>e</v>
      </c>
      <c r="O17" t="str">
        <f t="shared" si="12"/>
        <v>r</v>
      </c>
    </row>
    <row r="18" spans="2:15">
      <c r="B18" s="34" t="s">
        <v>251</v>
      </c>
      <c r="C18" s="23" t="str">
        <f t="shared" si="1"/>
        <v>h</v>
      </c>
      <c r="D18" t="str">
        <f t="shared" si="2"/>
        <v>e</v>
      </c>
      <c r="E18" t="str">
        <f t="shared" si="3"/>
        <v>l</v>
      </c>
      <c r="F18" t="str">
        <f t="shared" si="4"/>
        <v>i</v>
      </c>
      <c r="G18" t="str">
        <f t="shared" si="5"/>
        <v>u</v>
      </c>
      <c r="H18" t="str">
        <f t="shared" si="6"/>
        <v>m</v>
      </c>
      <c r="J18" t="str">
        <f t="shared" si="7"/>
        <v>h</v>
      </c>
      <c r="K18" t="str">
        <f t="shared" si="8"/>
        <v>e</v>
      </c>
      <c r="L18" t="str">
        <f t="shared" si="9"/>
        <v>l</v>
      </c>
      <c r="M18" t="str">
        <f t="shared" si="10"/>
        <v>i</v>
      </c>
      <c r="N18" t="str">
        <f t="shared" si="11"/>
        <v>u</v>
      </c>
      <c r="O18" t="str">
        <f t="shared" si="12"/>
        <v>m</v>
      </c>
    </row>
    <row r="19" spans="2:15">
      <c r="B19" s="34" t="s">
        <v>252</v>
      </c>
      <c r="C19" s="23" t="str">
        <f t="shared" si="1"/>
        <v>i</v>
      </c>
      <c r="D19" t="str">
        <f t="shared" si="2"/>
        <v>g</v>
      </c>
      <c r="E19" t="str">
        <f t="shared" si="3"/>
        <v>n</v>
      </c>
      <c r="F19" t="str">
        <f t="shared" si="4"/>
        <v>i</v>
      </c>
      <c r="G19" t="str">
        <f t="shared" si="5"/>
        <v>t</v>
      </c>
      <c r="H19" t="str">
        <f t="shared" si="6"/>
        <v>e</v>
      </c>
      <c r="J19" t="str">
        <f t="shared" si="7"/>
        <v>i</v>
      </c>
      <c r="K19" t="str">
        <f t="shared" si="8"/>
        <v>g</v>
      </c>
      <c r="L19" t="str">
        <f t="shared" si="9"/>
        <v>n</v>
      </c>
      <c r="M19" t="str">
        <f t="shared" si="10"/>
        <v>i</v>
      </c>
      <c r="N19" t="str">
        <f t="shared" si="11"/>
        <v>t</v>
      </c>
      <c r="O19" t="str">
        <f t="shared" si="12"/>
        <v>e</v>
      </c>
    </row>
    <row r="20" spans="2:15">
      <c r="B20" s="34" t="s">
        <v>253</v>
      </c>
      <c r="C20" s="23" t="str">
        <f t="shared" si="1"/>
        <v>i</v>
      </c>
      <c r="D20" t="str">
        <f t="shared" si="2"/>
        <v>n</v>
      </c>
      <c r="E20" t="str">
        <f t="shared" si="3"/>
        <v>d</v>
      </c>
      <c r="F20" t="str">
        <f t="shared" si="4"/>
        <v>i</v>
      </c>
      <c r="G20" t="str">
        <f t="shared" si="5"/>
        <v>g</v>
      </c>
      <c r="H20" t="str">
        <f t="shared" si="6"/>
        <v>o</v>
      </c>
      <c r="J20" t="str">
        <f t="shared" si="7"/>
        <v>i</v>
      </c>
      <c r="K20" t="str">
        <f t="shared" si="8"/>
        <v>n</v>
      </c>
      <c r="L20" t="str">
        <f t="shared" si="9"/>
        <v>d</v>
      </c>
      <c r="M20" t="str">
        <f t="shared" si="10"/>
        <v>i</v>
      </c>
      <c r="N20" t="str">
        <f t="shared" si="11"/>
        <v>g</v>
      </c>
      <c r="O20" t="str">
        <f t="shared" si="12"/>
        <v>o</v>
      </c>
    </row>
    <row r="21" spans="2:15">
      <c r="B21" s="34" t="s">
        <v>254</v>
      </c>
      <c r="C21" s="23" t="str">
        <f t="shared" si="1"/>
        <v>j</v>
      </c>
      <c r="D21" t="str">
        <f t="shared" si="2"/>
        <v>i</v>
      </c>
      <c r="E21" t="str">
        <f t="shared" si="3"/>
        <v>g</v>
      </c>
      <c r="F21" t="str">
        <f t="shared" si="4"/>
        <v>s</v>
      </c>
      <c r="G21" t="str">
        <f t="shared" si="5"/>
        <v>a</v>
      </c>
      <c r="H21" t="str">
        <f t="shared" si="6"/>
        <v>w</v>
      </c>
      <c r="J21" t="str">
        <f t="shared" si="7"/>
        <v>j</v>
      </c>
      <c r="K21" t="str">
        <f t="shared" si="8"/>
        <v>i</v>
      </c>
      <c r="L21" t="str">
        <f t="shared" si="9"/>
        <v>g</v>
      </c>
      <c r="M21" t="str">
        <f t="shared" si="10"/>
        <v>s</v>
      </c>
      <c r="N21" t="str">
        <f t="shared" si="11"/>
        <v>a</v>
      </c>
      <c r="O21" t="str">
        <f t="shared" si="12"/>
        <v>w</v>
      </c>
    </row>
    <row r="22" spans="2:15">
      <c r="B22" s="34" t="s">
        <v>255</v>
      </c>
      <c r="C22" s="23" t="str">
        <f t="shared" si="1"/>
        <v>j</v>
      </c>
      <c r="D22" t="str">
        <f t="shared" si="2"/>
        <v>u</v>
      </c>
      <c r="E22" t="str">
        <f t="shared" si="3"/>
        <v>l</v>
      </c>
      <c r="F22" t="str">
        <f t="shared" si="4"/>
        <v>i</v>
      </c>
      <c r="G22" t="str">
        <f t="shared" si="5"/>
        <v>e</v>
      </c>
      <c r="H22" t="str">
        <f t="shared" si="6"/>
        <v>t</v>
      </c>
      <c r="J22" t="str">
        <f t="shared" si="7"/>
        <v>j</v>
      </c>
      <c r="K22" t="str">
        <f t="shared" si="8"/>
        <v>u</v>
      </c>
      <c r="L22" t="str">
        <f t="shared" si="9"/>
        <v>l</v>
      </c>
      <c r="M22" t="str">
        <f t="shared" si="10"/>
        <v>i</v>
      </c>
      <c r="N22" t="str">
        <f t="shared" si="11"/>
        <v>e</v>
      </c>
      <c r="O22" t="str">
        <f t="shared" si="12"/>
        <v>t</v>
      </c>
    </row>
    <row r="23" spans="2:15">
      <c r="B23" s="34" t="s">
        <v>256</v>
      </c>
      <c r="C23" s="23" t="str">
        <f t="shared" si="1"/>
        <v>k</v>
      </c>
      <c r="D23" t="str">
        <f t="shared" si="2"/>
        <v>a</v>
      </c>
      <c r="E23" t="str">
        <f t="shared" si="3"/>
        <v>r</v>
      </c>
      <c r="F23" t="str">
        <f t="shared" si="4"/>
        <v>a</v>
      </c>
      <c r="G23" t="str">
        <f t="shared" si="5"/>
        <v>t</v>
      </c>
      <c r="H23" t="str">
        <f t="shared" si="6"/>
        <v>e</v>
      </c>
      <c r="J23" t="str">
        <f t="shared" si="7"/>
        <v>k</v>
      </c>
      <c r="K23" t="str">
        <f t="shared" si="8"/>
        <v>a</v>
      </c>
      <c r="L23" t="str">
        <f t="shared" si="9"/>
        <v>r</v>
      </c>
      <c r="M23" t="str">
        <f t="shared" si="10"/>
        <v>a</v>
      </c>
      <c r="N23" t="str">
        <f t="shared" si="11"/>
        <v>t</v>
      </c>
      <c r="O23" t="str">
        <f t="shared" si="12"/>
        <v>e</v>
      </c>
    </row>
    <row r="24" spans="2:15">
      <c r="B24" s="34" t="s">
        <v>257</v>
      </c>
      <c r="C24" s="23" t="str">
        <f t="shared" si="1"/>
        <v>k</v>
      </c>
      <c r="D24" t="str">
        <f t="shared" si="2"/>
        <v>e</v>
      </c>
      <c r="E24" t="str">
        <f t="shared" si="3"/>
        <v>y</v>
      </c>
      <c r="F24" t="str">
        <f t="shared" si="4"/>
        <v>p</v>
      </c>
      <c r="G24" t="str">
        <f t="shared" si="5"/>
        <v>a</v>
      </c>
      <c r="H24" t="str">
        <f t="shared" si="6"/>
        <v>d</v>
      </c>
      <c r="J24" t="str">
        <f t="shared" si="7"/>
        <v>k</v>
      </c>
      <c r="K24" t="str">
        <f t="shared" si="8"/>
        <v>e</v>
      </c>
      <c r="L24" t="str">
        <f t="shared" si="9"/>
        <v>y</v>
      </c>
      <c r="M24" t="str">
        <f t="shared" si="10"/>
        <v>p</v>
      </c>
      <c r="N24" t="str">
        <f t="shared" si="11"/>
        <v>a</v>
      </c>
      <c r="O24" t="str">
        <f t="shared" si="12"/>
        <v>d</v>
      </c>
    </row>
    <row r="25" spans="2:15">
      <c r="B25" s="34" t="s">
        <v>258</v>
      </c>
      <c r="C25" s="23" t="str">
        <f t="shared" si="1"/>
        <v>l</v>
      </c>
      <c r="D25" t="str">
        <f t="shared" si="2"/>
        <v>a</v>
      </c>
      <c r="E25" t="str">
        <f t="shared" si="3"/>
        <v>m</v>
      </c>
      <c r="F25" t="str">
        <f t="shared" si="4"/>
        <v>b</v>
      </c>
      <c r="G25" t="str">
        <f t="shared" si="5"/>
        <v>d</v>
      </c>
      <c r="H25" t="str">
        <f t="shared" si="6"/>
        <v>a</v>
      </c>
      <c r="J25" t="str">
        <f t="shared" si="7"/>
        <v>l</v>
      </c>
      <c r="K25" t="str">
        <f t="shared" si="8"/>
        <v>a</v>
      </c>
      <c r="L25" t="str">
        <f t="shared" si="9"/>
        <v>m</v>
      </c>
      <c r="M25" t="str">
        <f t="shared" si="10"/>
        <v>b</v>
      </c>
      <c r="N25" t="str">
        <f t="shared" si="11"/>
        <v>d</v>
      </c>
      <c r="O25" t="str">
        <f t="shared" si="12"/>
        <v>a</v>
      </c>
    </row>
    <row r="26" spans="2:15">
      <c r="B26" s="34" t="s">
        <v>259</v>
      </c>
      <c r="C26" s="23" t="str">
        <f t="shared" si="1"/>
        <v>l</v>
      </c>
      <c r="D26" t="str">
        <f t="shared" si="2"/>
        <v>i</v>
      </c>
      <c r="E26" t="str">
        <f t="shared" si="3"/>
        <v>s</v>
      </c>
      <c r="F26" t="str">
        <f t="shared" si="4"/>
        <v>t</v>
      </c>
      <c r="G26" t="str">
        <f t="shared" si="5"/>
        <v>e</v>
      </c>
      <c r="H26" t="str">
        <f t="shared" si="6"/>
        <v>n</v>
      </c>
      <c r="J26" t="str">
        <f t="shared" si="7"/>
        <v>l</v>
      </c>
      <c r="K26" t="str">
        <f t="shared" si="8"/>
        <v>i</v>
      </c>
      <c r="L26" t="str">
        <f t="shared" si="9"/>
        <v>s</v>
      </c>
      <c r="M26" t="str">
        <f t="shared" si="10"/>
        <v>t</v>
      </c>
      <c r="N26" t="str">
        <f t="shared" si="11"/>
        <v>e</v>
      </c>
      <c r="O26" t="str">
        <f t="shared" si="12"/>
        <v>n</v>
      </c>
    </row>
    <row r="27" spans="2:15">
      <c r="B27" s="34" t="s">
        <v>260</v>
      </c>
      <c r="C27" s="23" t="str">
        <f t="shared" si="1"/>
        <v>m</v>
      </c>
      <c r="D27" t="str">
        <f t="shared" si="2"/>
        <v>a</v>
      </c>
      <c r="E27" t="str">
        <f t="shared" si="3"/>
        <v>t</v>
      </c>
      <c r="F27" t="str">
        <f t="shared" si="4"/>
        <v>t</v>
      </c>
      <c r="G27" t="str">
        <f t="shared" si="5"/>
        <v>e</v>
      </c>
      <c r="H27" t="str">
        <f t="shared" si="6"/>
        <v>r</v>
      </c>
      <c r="J27" t="str">
        <f t="shared" si="7"/>
        <v>m</v>
      </c>
      <c r="K27" t="str">
        <f t="shared" si="8"/>
        <v>a</v>
      </c>
      <c r="L27" t="str">
        <f t="shared" si="9"/>
        <v>t</v>
      </c>
      <c r="M27" t="str">
        <f t="shared" si="10"/>
        <v>t</v>
      </c>
      <c r="N27" t="str">
        <f t="shared" si="11"/>
        <v>e</v>
      </c>
      <c r="O27" t="str">
        <f t="shared" si="12"/>
        <v>r</v>
      </c>
    </row>
    <row r="28" spans="2:15">
      <c r="B28" s="34" t="s">
        <v>261</v>
      </c>
      <c r="C28" s="23" t="str">
        <f t="shared" si="1"/>
        <v>m</v>
      </c>
      <c r="D28" t="str">
        <f t="shared" si="2"/>
        <v>e</v>
      </c>
      <c r="E28" t="str">
        <f t="shared" si="3"/>
        <v>m</v>
      </c>
      <c r="F28" t="str">
        <f t="shared" si="4"/>
        <v>o</v>
      </c>
      <c r="G28" t="str">
        <f t="shared" si="5"/>
        <v>r</v>
      </c>
      <c r="H28" t="str">
        <f t="shared" si="6"/>
        <v>y</v>
      </c>
      <c r="J28" t="str">
        <f t="shared" si="7"/>
        <v>m</v>
      </c>
      <c r="K28" t="str">
        <f t="shared" si="8"/>
        <v>e</v>
      </c>
      <c r="L28" t="str">
        <f t="shared" si="9"/>
        <v>m</v>
      </c>
      <c r="M28" t="str">
        <f t="shared" si="10"/>
        <v>o</v>
      </c>
      <c r="N28" t="str">
        <f t="shared" si="11"/>
        <v>r</v>
      </c>
      <c r="O28" t="str">
        <f t="shared" si="12"/>
        <v>y</v>
      </c>
    </row>
    <row r="29" spans="2:15">
      <c r="B29" s="34" t="s">
        <v>262</v>
      </c>
      <c r="C29" s="23" t="str">
        <f t="shared" si="1"/>
        <v>n</v>
      </c>
      <c r="D29" t="str">
        <f t="shared" si="2"/>
        <v>e</v>
      </c>
      <c r="E29" t="str">
        <f t="shared" si="3"/>
        <v>b</v>
      </c>
      <c r="F29" t="str">
        <f t="shared" si="4"/>
        <v>u</v>
      </c>
      <c r="G29" t="str">
        <f t="shared" si="5"/>
        <v>l</v>
      </c>
      <c r="H29" t="str">
        <f t="shared" si="6"/>
        <v>a</v>
      </c>
      <c r="J29" t="str">
        <f t="shared" si="7"/>
        <v>n</v>
      </c>
      <c r="K29" t="str">
        <f t="shared" si="8"/>
        <v>e</v>
      </c>
      <c r="L29" t="str">
        <f t="shared" si="9"/>
        <v>b</v>
      </c>
      <c r="M29" t="str">
        <f t="shared" si="10"/>
        <v>u</v>
      </c>
      <c r="N29" t="str">
        <f t="shared" si="11"/>
        <v>l</v>
      </c>
      <c r="O29" t="str">
        <f t="shared" si="12"/>
        <v>a</v>
      </c>
    </row>
    <row r="30" spans="2:15">
      <c r="B30" s="34" t="s">
        <v>263</v>
      </c>
      <c r="C30" s="23" t="str">
        <f t="shared" si="1"/>
        <v>n</v>
      </c>
      <c r="D30" t="str">
        <f t="shared" si="2"/>
        <v>i</v>
      </c>
      <c r="E30" t="str">
        <f t="shared" si="3"/>
        <v>c</v>
      </c>
      <c r="F30" t="str">
        <f t="shared" si="4"/>
        <v>k</v>
      </c>
      <c r="G30" t="str">
        <f t="shared" si="5"/>
        <v>e</v>
      </c>
      <c r="H30" t="str">
        <f t="shared" si="6"/>
        <v>l</v>
      </c>
      <c r="J30" t="str">
        <f t="shared" si="7"/>
        <v>n</v>
      </c>
      <c r="K30" t="str">
        <f t="shared" si="8"/>
        <v>i</v>
      </c>
      <c r="L30" t="str">
        <f t="shared" si="9"/>
        <v>c</v>
      </c>
      <c r="M30" t="str">
        <f t="shared" si="10"/>
        <v>k</v>
      </c>
      <c r="N30" t="str">
        <f t="shared" si="11"/>
        <v>e</v>
      </c>
      <c r="O30" t="str">
        <f t="shared" si="12"/>
        <v>l</v>
      </c>
    </row>
    <row r="31" spans="2:15">
      <c r="B31" s="34" t="s">
        <v>264</v>
      </c>
      <c r="C31" s="23" t="str">
        <f t="shared" si="1"/>
        <v>o</v>
      </c>
      <c r="D31" t="str">
        <f t="shared" si="2"/>
        <v>v</v>
      </c>
      <c r="E31" t="str">
        <f t="shared" si="3"/>
        <v>e</v>
      </c>
      <c r="F31" t="str">
        <f t="shared" si="4"/>
        <v>r</v>
      </c>
      <c r="G31" t="str">
        <f t="shared" si="5"/>
        <v>d</v>
      </c>
      <c r="H31" t="str">
        <f t="shared" si="6"/>
        <v>o</v>
      </c>
      <c r="J31" t="str">
        <f t="shared" si="7"/>
        <v>o</v>
      </c>
      <c r="K31" t="str">
        <f t="shared" si="8"/>
        <v>v</v>
      </c>
      <c r="L31" t="str">
        <f t="shared" si="9"/>
        <v>e</v>
      </c>
      <c r="M31" t="str">
        <f t="shared" si="10"/>
        <v>r</v>
      </c>
      <c r="N31" t="str">
        <f t="shared" si="11"/>
        <v>d</v>
      </c>
      <c r="O31" t="str">
        <f t="shared" si="12"/>
        <v>o</v>
      </c>
    </row>
    <row r="32" spans="2:15">
      <c r="B32" s="34" t="s">
        <v>265</v>
      </c>
      <c r="C32" s="23" t="str">
        <f t="shared" si="1"/>
        <v>o</v>
      </c>
      <c r="D32" t="str">
        <f t="shared" si="2"/>
        <v>x</v>
      </c>
      <c r="E32" t="str">
        <f t="shared" si="3"/>
        <v>y</v>
      </c>
      <c r="F32" t="str">
        <f t="shared" si="4"/>
        <v>g</v>
      </c>
      <c r="G32" t="str">
        <f t="shared" si="5"/>
        <v>e</v>
      </c>
      <c r="H32" t="str">
        <f t="shared" si="6"/>
        <v>n</v>
      </c>
      <c r="J32" t="str">
        <f t="shared" si="7"/>
        <v>o</v>
      </c>
      <c r="K32" t="str">
        <f t="shared" si="8"/>
        <v>x</v>
      </c>
      <c r="L32" t="str">
        <f t="shared" si="9"/>
        <v>y</v>
      </c>
      <c r="M32" t="str">
        <f t="shared" si="10"/>
        <v>g</v>
      </c>
      <c r="N32" t="str">
        <f t="shared" si="11"/>
        <v>e</v>
      </c>
      <c r="O32" t="str">
        <f t="shared" si="12"/>
        <v>n</v>
      </c>
    </row>
    <row r="33" spans="2:15">
      <c r="B33" s="34" t="s">
        <v>266</v>
      </c>
      <c r="C33" s="23" t="str">
        <f t="shared" si="1"/>
        <v>p</v>
      </c>
      <c r="D33" t="str">
        <f t="shared" si="2"/>
        <v>e</v>
      </c>
      <c r="E33" t="str">
        <f t="shared" si="3"/>
        <v>a</v>
      </c>
      <c r="F33" t="str">
        <f t="shared" si="4"/>
        <v>n</v>
      </c>
      <c r="G33" t="str">
        <f t="shared" si="5"/>
        <v>u</v>
      </c>
      <c r="H33" t="str">
        <f t="shared" si="6"/>
        <v>t</v>
      </c>
      <c r="J33" t="str">
        <f t="shared" si="7"/>
        <v>p</v>
      </c>
      <c r="K33" t="str">
        <f t="shared" si="8"/>
        <v>e</v>
      </c>
      <c r="L33" t="str">
        <f t="shared" si="9"/>
        <v>a</v>
      </c>
      <c r="M33" t="str">
        <f t="shared" si="10"/>
        <v>n</v>
      </c>
      <c r="N33" t="str">
        <f t="shared" si="11"/>
        <v>u</v>
      </c>
      <c r="O33" t="str">
        <f t="shared" si="12"/>
        <v>t</v>
      </c>
    </row>
    <row r="34" spans="2:15">
      <c r="B34" s="34" t="s">
        <v>267</v>
      </c>
      <c r="C34" s="23" t="str">
        <f t="shared" si="1"/>
        <v>p</v>
      </c>
      <c r="D34" t="str">
        <f t="shared" si="2"/>
        <v>h</v>
      </c>
      <c r="E34" t="str">
        <f t="shared" si="3"/>
        <v>o</v>
      </c>
      <c r="F34" t="str">
        <f t="shared" si="4"/>
        <v>t</v>
      </c>
      <c r="G34" t="str">
        <f t="shared" si="5"/>
        <v>o</v>
      </c>
      <c r="H34" t="str">
        <f t="shared" si="6"/>
        <v>n</v>
      </c>
      <c r="J34" t="str">
        <f t="shared" si="7"/>
        <v>p</v>
      </c>
      <c r="K34" t="str">
        <f t="shared" si="8"/>
        <v>h</v>
      </c>
      <c r="L34" t="str">
        <f t="shared" si="9"/>
        <v>o</v>
      </c>
      <c r="M34" t="str">
        <f t="shared" si="10"/>
        <v>t</v>
      </c>
      <c r="N34" t="str">
        <f t="shared" si="11"/>
        <v>o</v>
      </c>
      <c r="O34" t="str">
        <f t="shared" si="12"/>
        <v>n</v>
      </c>
    </row>
    <row r="35" spans="2:15">
      <c r="B35" s="34" t="s">
        <v>268</v>
      </c>
      <c r="C35" s="23" t="str">
        <f t="shared" si="1"/>
        <v>q</v>
      </c>
      <c r="D35" t="str">
        <f t="shared" si="2"/>
        <v>u</v>
      </c>
      <c r="E35" t="str">
        <f t="shared" si="3"/>
        <v>a</v>
      </c>
      <c r="F35" t="str">
        <f t="shared" si="4"/>
        <v>r</v>
      </c>
      <c r="G35" t="str">
        <f t="shared" si="5"/>
        <v>t</v>
      </c>
      <c r="H35" t="str">
        <f t="shared" si="6"/>
        <v>z</v>
      </c>
      <c r="J35" t="str">
        <f t="shared" si="7"/>
        <v>q</v>
      </c>
      <c r="K35" t="str">
        <f t="shared" si="8"/>
        <v>u</v>
      </c>
      <c r="L35" t="str">
        <f t="shared" si="9"/>
        <v>a</v>
      </c>
      <c r="M35" t="str">
        <f t="shared" si="10"/>
        <v>r</v>
      </c>
      <c r="N35" t="str">
        <f t="shared" si="11"/>
        <v>t</v>
      </c>
      <c r="O35" t="str">
        <f t="shared" si="12"/>
        <v>z</v>
      </c>
    </row>
    <row r="36" spans="2:15">
      <c r="B36" s="34" t="s">
        <v>269</v>
      </c>
      <c r="C36" s="23" t="str">
        <f t="shared" si="1"/>
        <v>q</v>
      </c>
      <c r="D36" t="str">
        <f t="shared" si="2"/>
        <v>u</v>
      </c>
      <c r="E36" t="str">
        <f t="shared" si="3"/>
        <v>e</v>
      </c>
      <c r="F36" t="str">
        <f t="shared" si="4"/>
        <v>b</v>
      </c>
      <c r="G36" t="str">
        <f t="shared" si="5"/>
        <v>e</v>
      </c>
      <c r="H36" t="str">
        <f t="shared" si="6"/>
        <v>c</v>
      </c>
      <c r="J36" t="str">
        <f t="shared" si="7"/>
        <v>q</v>
      </c>
      <c r="K36" t="str">
        <f t="shared" si="8"/>
        <v>u</v>
      </c>
      <c r="L36" t="str">
        <f t="shared" si="9"/>
        <v>e</v>
      </c>
      <c r="M36" t="str">
        <f t="shared" si="10"/>
        <v>b</v>
      </c>
      <c r="N36" t="str">
        <f t="shared" si="11"/>
        <v>e</v>
      </c>
      <c r="O36" t="str">
        <f t="shared" si="12"/>
        <v>c</v>
      </c>
    </row>
    <row r="37" spans="2:15">
      <c r="B37" s="34" t="s">
        <v>270</v>
      </c>
      <c r="C37" s="23" t="str">
        <f t="shared" si="1"/>
        <v>r</v>
      </c>
      <c r="D37" t="str">
        <f t="shared" si="2"/>
        <v>e</v>
      </c>
      <c r="E37" t="str">
        <f t="shared" si="3"/>
        <v>s</v>
      </c>
      <c r="F37" t="str">
        <f t="shared" si="4"/>
        <v>i</v>
      </c>
      <c r="G37" t="str">
        <f t="shared" si="5"/>
        <v>s</v>
      </c>
      <c r="H37" t="str">
        <f t="shared" si="6"/>
        <v>t</v>
      </c>
      <c r="J37" t="str">
        <f t="shared" si="7"/>
        <v>r</v>
      </c>
      <c r="K37" t="str">
        <f t="shared" si="8"/>
        <v>e</v>
      </c>
      <c r="L37" t="str">
        <f t="shared" si="9"/>
        <v>s</v>
      </c>
      <c r="M37" t="str">
        <f t="shared" si="10"/>
        <v>i</v>
      </c>
      <c r="N37" t="str">
        <f t="shared" si="11"/>
        <v>s</v>
      </c>
      <c r="O37" t="str">
        <f t="shared" si="12"/>
        <v>t</v>
      </c>
    </row>
    <row r="38" spans="2:15">
      <c r="B38" s="34" t="s">
        <v>271</v>
      </c>
      <c r="C38" s="23" t="str">
        <f t="shared" si="1"/>
        <v>r</v>
      </c>
      <c r="D38" t="str">
        <f t="shared" si="2"/>
        <v>i</v>
      </c>
      <c r="E38" t="str">
        <f t="shared" si="3"/>
        <v>d</v>
      </c>
      <c r="F38" t="str">
        <f t="shared" si="4"/>
        <v>d</v>
      </c>
      <c r="G38" t="str">
        <f t="shared" si="5"/>
        <v>l</v>
      </c>
      <c r="H38" t="str">
        <f t="shared" si="6"/>
        <v>e</v>
      </c>
      <c r="J38" t="str">
        <f t="shared" si="7"/>
        <v>r</v>
      </c>
      <c r="K38" t="str">
        <f t="shared" si="8"/>
        <v>i</v>
      </c>
      <c r="L38" t="str">
        <f t="shared" si="9"/>
        <v>d</v>
      </c>
      <c r="M38" t="str">
        <f t="shared" si="10"/>
        <v>d</v>
      </c>
      <c r="N38" t="str">
        <f t="shared" si="11"/>
        <v>l</v>
      </c>
      <c r="O38" t="str">
        <f t="shared" si="12"/>
        <v>e</v>
      </c>
    </row>
    <row r="39" spans="2:15">
      <c r="B39" s="34" t="s">
        <v>272</v>
      </c>
      <c r="C39" s="23" t="str">
        <f t="shared" si="1"/>
        <v>s</v>
      </c>
      <c r="D39" t="str">
        <f t="shared" si="2"/>
        <v>i</v>
      </c>
      <c r="E39" t="str">
        <f t="shared" si="3"/>
        <v>e</v>
      </c>
      <c r="F39" t="str">
        <f t="shared" si="4"/>
        <v>r</v>
      </c>
      <c r="G39" t="str">
        <f t="shared" si="5"/>
        <v>r</v>
      </c>
      <c r="H39" t="str">
        <f t="shared" si="6"/>
        <v>a</v>
      </c>
      <c r="J39" t="str">
        <f t="shared" si="7"/>
        <v>s</v>
      </c>
      <c r="K39" t="str">
        <f t="shared" si="8"/>
        <v>i</v>
      </c>
      <c r="L39" t="str">
        <f t="shared" si="9"/>
        <v>e</v>
      </c>
      <c r="M39" t="str">
        <f t="shared" si="10"/>
        <v>r</v>
      </c>
      <c r="N39" t="str">
        <f t="shared" si="11"/>
        <v>r</v>
      </c>
      <c r="O39" t="str">
        <f t="shared" si="12"/>
        <v>a</v>
      </c>
    </row>
    <row r="40" spans="2:15">
      <c r="B40" s="34" t="s">
        <v>273</v>
      </c>
      <c r="C40" s="23" t="str">
        <f t="shared" si="1"/>
        <v>s</v>
      </c>
      <c r="D40" t="str">
        <f t="shared" si="2"/>
        <v>t</v>
      </c>
      <c r="E40" t="str">
        <f t="shared" si="3"/>
        <v>r</v>
      </c>
      <c r="F40" t="str">
        <f t="shared" si="4"/>
        <v>i</v>
      </c>
      <c r="G40" t="str">
        <f t="shared" si="5"/>
        <v>k</v>
      </c>
      <c r="H40" t="str">
        <f t="shared" si="6"/>
        <v>e</v>
      </c>
      <c r="J40" t="str">
        <f t="shared" si="7"/>
        <v>s</v>
      </c>
      <c r="K40" t="str">
        <f t="shared" si="8"/>
        <v>t</v>
      </c>
      <c r="L40" t="str">
        <f t="shared" si="9"/>
        <v>r</v>
      </c>
      <c r="M40" t="str">
        <f t="shared" si="10"/>
        <v>i</v>
      </c>
      <c r="N40" t="str">
        <f t="shared" si="11"/>
        <v>k</v>
      </c>
      <c r="O40" t="str">
        <f t="shared" si="12"/>
        <v>e</v>
      </c>
    </row>
    <row r="41" spans="2:15">
      <c r="B41" s="34" t="s">
        <v>274</v>
      </c>
      <c r="C41" s="23" t="str">
        <f t="shared" si="1"/>
        <v>t</v>
      </c>
      <c r="D41" t="str">
        <f t="shared" si="2"/>
        <v>e</v>
      </c>
      <c r="E41" t="str">
        <f t="shared" si="3"/>
        <v>a</v>
      </c>
      <c r="F41" t="str">
        <f t="shared" si="4"/>
        <v>p</v>
      </c>
      <c r="G41" t="str">
        <f t="shared" si="5"/>
        <v>o</v>
      </c>
      <c r="H41" t="str">
        <f t="shared" si="6"/>
        <v>t</v>
      </c>
      <c r="J41" t="str">
        <f t="shared" si="7"/>
        <v>t</v>
      </c>
      <c r="K41" t="str">
        <f t="shared" si="8"/>
        <v>e</v>
      </c>
      <c r="L41" t="str">
        <f t="shared" si="9"/>
        <v>a</v>
      </c>
      <c r="M41" t="str">
        <f t="shared" si="10"/>
        <v>p</v>
      </c>
      <c r="N41" t="str">
        <f t="shared" si="11"/>
        <v>o</v>
      </c>
      <c r="O41" t="str">
        <f t="shared" si="12"/>
        <v>t</v>
      </c>
    </row>
    <row r="42" spans="2:15">
      <c r="B42" s="34" t="s">
        <v>275</v>
      </c>
      <c r="C42" s="23" t="str">
        <f t="shared" si="1"/>
        <v>t</v>
      </c>
      <c r="D42" t="str">
        <f t="shared" si="2"/>
        <v>w</v>
      </c>
      <c r="E42" t="str">
        <f t="shared" si="3"/>
        <v>e</v>
      </c>
      <c r="F42" t="str">
        <f t="shared" si="4"/>
        <v>n</v>
      </c>
      <c r="G42" t="str">
        <f t="shared" si="5"/>
        <v>t</v>
      </c>
      <c r="H42" t="str">
        <f t="shared" si="6"/>
        <v>y</v>
      </c>
      <c r="J42" t="str">
        <f t="shared" si="7"/>
        <v>t</v>
      </c>
      <c r="K42" t="str">
        <f t="shared" si="8"/>
        <v>w</v>
      </c>
      <c r="L42" t="str">
        <f t="shared" si="9"/>
        <v>e</v>
      </c>
      <c r="M42" t="str">
        <f t="shared" si="10"/>
        <v>n</v>
      </c>
      <c r="N42" t="str">
        <f t="shared" si="11"/>
        <v>t</v>
      </c>
      <c r="O42" t="str">
        <f t="shared" si="12"/>
        <v>y</v>
      </c>
    </row>
    <row r="43" spans="2:15">
      <c r="B43" s="34" t="s">
        <v>277</v>
      </c>
      <c r="C43" s="23" t="str">
        <f t="shared" si="1"/>
        <v>u</v>
      </c>
      <c r="D43" t="str">
        <f t="shared" si="2"/>
        <v>l</v>
      </c>
      <c r="E43" t="str">
        <f t="shared" si="3"/>
        <v>t</v>
      </c>
      <c r="F43" t="str">
        <f t="shared" si="4"/>
        <v>i</v>
      </c>
      <c r="G43" t="str">
        <f t="shared" si="5"/>
        <v>m</v>
      </c>
      <c r="H43" t="str">
        <f t="shared" si="6"/>
        <v>a</v>
      </c>
      <c r="J43" t="str">
        <f t="shared" si="7"/>
        <v>u</v>
      </c>
      <c r="K43" t="str">
        <f t="shared" si="8"/>
        <v>l</v>
      </c>
      <c r="L43" t="str">
        <f t="shared" si="9"/>
        <v>t</v>
      </c>
      <c r="M43" t="str">
        <f t="shared" si="10"/>
        <v>i</v>
      </c>
      <c r="N43" t="str">
        <f t="shared" si="11"/>
        <v>m</v>
      </c>
      <c r="O43" t="str">
        <f t="shared" si="12"/>
        <v>a</v>
      </c>
    </row>
    <row r="44" spans="2:15">
      <c r="B44" s="34" t="s">
        <v>276</v>
      </c>
      <c r="C44" s="23" t="str">
        <f t="shared" si="1"/>
        <v>u</v>
      </c>
      <c r="D44" t="str">
        <f t="shared" si="2"/>
        <v>n</v>
      </c>
      <c r="E44" t="str">
        <f t="shared" si="3"/>
        <v>t</v>
      </c>
      <c r="F44" t="str">
        <f t="shared" si="4"/>
        <v>o</v>
      </c>
      <c r="G44" t="str">
        <f t="shared" si="5"/>
        <v>l</v>
      </c>
      <c r="H44" t="str">
        <f t="shared" si="6"/>
        <v>d</v>
      </c>
      <c r="J44" t="str">
        <f t="shared" si="7"/>
        <v>u</v>
      </c>
      <c r="K44" t="str">
        <f t="shared" si="8"/>
        <v>n</v>
      </c>
      <c r="L44" t="str">
        <f t="shared" si="9"/>
        <v>t</v>
      </c>
      <c r="M44" t="str">
        <f t="shared" si="10"/>
        <v>o</v>
      </c>
      <c r="N44" t="str">
        <f t="shared" si="11"/>
        <v>l</v>
      </c>
      <c r="O44" t="str">
        <f t="shared" si="12"/>
        <v>d</v>
      </c>
    </row>
    <row r="45" spans="2:15">
      <c r="B45" s="34" t="s">
        <v>278</v>
      </c>
      <c r="C45" s="23" t="str">
        <f t="shared" si="1"/>
        <v>v</v>
      </c>
      <c r="D45" t="str">
        <f t="shared" si="2"/>
        <v>i</v>
      </c>
      <c r="E45" t="str">
        <f t="shared" si="3"/>
        <v>c</v>
      </c>
      <c r="F45" t="str">
        <f t="shared" si="4"/>
        <v>t</v>
      </c>
      <c r="G45" t="str">
        <f t="shared" si="5"/>
        <v>o</v>
      </c>
      <c r="H45" t="str">
        <f t="shared" si="6"/>
        <v>r</v>
      </c>
      <c r="J45" t="str">
        <f t="shared" si="7"/>
        <v>v</v>
      </c>
      <c r="K45" t="str">
        <f t="shared" si="8"/>
        <v>i</v>
      </c>
      <c r="L45" t="str">
        <f t="shared" si="9"/>
        <v>c</v>
      </c>
      <c r="M45" t="str">
        <f t="shared" si="10"/>
        <v>t</v>
      </c>
      <c r="N45" t="str">
        <f t="shared" si="11"/>
        <v>o</v>
      </c>
      <c r="O45" t="str">
        <f t="shared" si="12"/>
        <v>r</v>
      </c>
    </row>
    <row r="46" spans="2:15">
      <c r="B46" s="34" t="s">
        <v>279</v>
      </c>
      <c r="C46" s="23" t="str">
        <f t="shared" si="1"/>
        <v>v</v>
      </c>
      <c r="D46" t="str">
        <f t="shared" si="2"/>
        <v>i</v>
      </c>
      <c r="E46" t="str">
        <f t="shared" si="3"/>
        <v>o</v>
      </c>
      <c r="F46" t="str">
        <f t="shared" si="4"/>
        <v>l</v>
      </c>
      <c r="G46" t="str">
        <f t="shared" si="5"/>
        <v>e</v>
      </c>
      <c r="H46" t="str">
        <f t="shared" si="6"/>
        <v>t</v>
      </c>
      <c r="J46" t="str">
        <f t="shared" si="7"/>
        <v>v</v>
      </c>
      <c r="K46" t="str">
        <f t="shared" si="8"/>
        <v>i</v>
      </c>
      <c r="L46" t="str">
        <f t="shared" si="9"/>
        <v>o</v>
      </c>
      <c r="M46" t="str">
        <f t="shared" si="10"/>
        <v>l</v>
      </c>
      <c r="N46" t="str">
        <f t="shared" si="11"/>
        <v>e</v>
      </c>
      <c r="O46" t="str">
        <f t="shared" si="12"/>
        <v>t</v>
      </c>
    </row>
    <row r="47" spans="2:15">
      <c r="B47" s="34" t="s">
        <v>280</v>
      </c>
      <c r="C47" s="23" t="str">
        <f t="shared" si="1"/>
        <v>w</v>
      </c>
      <c r="D47" t="str">
        <f t="shared" si="2"/>
        <v>i</v>
      </c>
      <c r="E47" t="str">
        <f t="shared" si="3"/>
        <v>t</v>
      </c>
      <c r="F47" t="str">
        <f t="shared" si="4"/>
        <v>h</v>
      </c>
      <c r="G47" t="str">
        <f t="shared" si="5"/>
        <v>e</v>
      </c>
      <c r="H47" t="str">
        <f t="shared" si="6"/>
        <v>r</v>
      </c>
      <c r="J47" t="str">
        <f t="shared" si="7"/>
        <v>w</v>
      </c>
      <c r="K47" t="str">
        <f t="shared" si="8"/>
        <v>i</v>
      </c>
      <c r="L47" t="str">
        <f t="shared" si="9"/>
        <v>t</v>
      </c>
      <c r="M47" t="str">
        <f t="shared" si="10"/>
        <v>h</v>
      </c>
      <c r="N47" t="str">
        <f t="shared" si="11"/>
        <v>e</v>
      </c>
      <c r="O47" t="str">
        <f t="shared" si="12"/>
        <v>r</v>
      </c>
    </row>
    <row r="48" spans="2:15">
      <c r="B48" s="34" t="s">
        <v>281</v>
      </c>
      <c r="C48" s="23" t="str">
        <f t="shared" si="1"/>
        <v>w</v>
      </c>
      <c r="D48" t="str">
        <f t="shared" si="2"/>
        <v>r</v>
      </c>
      <c r="E48" t="str">
        <f t="shared" si="3"/>
        <v>e</v>
      </c>
      <c r="F48" t="str">
        <f t="shared" si="4"/>
        <v>n</v>
      </c>
      <c r="G48" t="str">
        <f t="shared" si="5"/>
        <v>c</v>
      </c>
      <c r="H48" t="str">
        <f t="shared" si="6"/>
        <v>h</v>
      </c>
      <c r="J48" t="str">
        <f t="shared" si="7"/>
        <v>w</v>
      </c>
      <c r="K48" t="str">
        <f t="shared" si="8"/>
        <v>r</v>
      </c>
      <c r="L48" t="str">
        <f t="shared" si="9"/>
        <v>e</v>
      </c>
      <c r="M48" t="str">
        <f t="shared" si="10"/>
        <v>n</v>
      </c>
      <c r="N48" t="str">
        <f t="shared" si="11"/>
        <v>c</v>
      </c>
      <c r="O48" t="str">
        <f t="shared" si="12"/>
        <v>h</v>
      </c>
    </row>
    <row r="49" spans="2:15">
      <c r="B49" s="34" t="s">
        <v>282</v>
      </c>
      <c r="C49" s="23" t="str">
        <f t="shared" si="1"/>
        <v>x</v>
      </c>
      <c r="D49" t="str">
        <f t="shared" si="2"/>
        <v>e</v>
      </c>
      <c r="E49" t="str">
        <f t="shared" si="3"/>
        <v>n</v>
      </c>
      <c r="F49" t="str">
        <f t="shared" si="4"/>
        <v>o</v>
      </c>
      <c r="G49" t="str">
        <f t="shared" si="5"/>
        <v>n</v>
      </c>
      <c r="H49" t="str">
        <f t="shared" si="6"/>
        <v>s</v>
      </c>
      <c r="J49" t="str">
        <f t="shared" si="7"/>
        <v>x</v>
      </c>
      <c r="K49" t="str">
        <f t="shared" si="8"/>
        <v>e</v>
      </c>
      <c r="L49" t="str">
        <f t="shared" si="9"/>
        <v>n</v>
      </c>
      <c r="M49" t="str">
        <f t="shared" si="10"/>
        <v>o</v>
      </c>
      <c r="N49" t="str">
        <f t="shared" si="11"/>
        <v>n</v>
      </c>
      <c r="O49" t="str">
        <f t="shared" si="12"/>
        <v>s</v>
      </c>
    </row>
    <row r="50" spans="2:15">
      <c r="B50" s="34" t="s">
        <v>283</v>
      </c>
      <c r="C50" s="23" t="str">
        <f t="shared" si="1"/>
        <v>x</v>
      </c>
      <c r="D50" t="str">
        <f t="shared" si="2"/>
        <v>y</v>
      </c>
      <c r="E50" t="str">
        <f t="shared" si="3"/>
        <v>l</v>
      </c>
      <c r="F50" t="str">
        <f t="shared" si="4"/>
        <v>o</v>
      </c>
      <c r="G50" t="str">
        <f t="shared" si="5"/>
        <v>s</v>
      </c>
      <c r="H50" t="str">
        <f t="shared" si="6"/>
        <v>e</v>
      </c>
      <c r="J50" t="str">
        <f t="shared" si="7"/>
        <v>x</v>
      </c>
      <c r="K50" t="str">
        <f t="shared" si="8"/>
        <v>y</v>
      </c>
      <c r="L50" t="str">
        <f t="shared" si="9"/>
        <v>l</v>
      </c>
      <c r="M50" t="str">
        <f t="shared" si="10"/>
        <v>o</v>
      </c>
      <c r="N50" t="str">
        <f t="shared" si="11"/>
        <v>s</v>
      </c>
      <c r="O50" t="str">
        <f t="shared" si="12"/>
        <v>e</v>
      </c>
    </row>
    <row r="51" spans="2:15">
      <c r="B51" s="34" t="s">
        <v>284</v>
      </c>
      <c r="C51" s="23" t="str">
        <f t="shared" si="1"/>
        <v>y</v>
      </c>
      <c r="D51" t="str">
        <f t="shared" si="2"/>
        <v>e</v>
      </c>
      <c r="E51" t="str">
        <f t="shared" si="3"/>
        <v>l</v>
      </c>
      <c r="F51" t="str">
        <f t="shared" si="4"/>
        <v>l</v>
      </c>
      <c r="G51" t="str">
        <f t="shared" si="5"/>
        <v>o</v>
      </c>
      <c r="H51" t="str">
        <f t="shared" si="6"/>
        <v>w</v>
      </c>
      <c r="J51" t="str">
        <f t="shared" si="7"/>
        <v>y</v>
      </c>
      <c r="K51" t="str">
        <f t="shared" si="8"/>
        <v>e</v>
      </c>
      <c r="L51" t="str">
        <f t="shared" si="9"/>
        <v>l</v>
      </c>
      <c r="M51" t="str">
        <f t="shared" si="10"/>
        <v>l</v>
      </c>
      <c r="N51" t="str">
        <f t="shared" si="11"/>
        <v>o</v>
      </c>
      <c r="O51" t="str">
        <f t="shared" si="12"/>
        <v>w</v>
      </c>
    </row>
    <row r="52" spans="2:15">
      <c r="B52" s="34" t="s">
        <v>285</v>
      </c>
      <c r="C52" s="23" t="str">
        <f t="shared" si="1"/>
        <v>y</v>
      </c>
      <c r="D52" t="str">
        <f t="shared" si="2"/>
        <v>o</v>
      </c>
      <c r="E52" t="str">
        <f t="shared" si="3"/>
        <v>g</v>
      </c>
      <c r="F52" t="str">
        <f t="shared" si="4"/>
        <v>u</v>
      </c>
      <c r="G52" t="str">
        <f t="shared" si="5"/>
        <v>r</v>
      </c>
      <c r="H52" t="str">
        <f t="shared" si="6"/>
        <v>t</v>
      </c>
      <c r="J52" t="str">
        <f t="shared" si="7"/>
        <v>y</v>
      </c>
      <c r="K52" t="str">
        <f t="shared" si="8"/>
        <v>o</v>
      </c>
      <c r="L52" t="str">
        <f t="shared" si="9"/>
        <v>g</v>
      </c>
      <c r="M52" t="str">
        <f t="shared" si="10"/>
        <v>u</v>
      </c>
      <c r="N52" t="str">
        <f t="shared" si="11"/>
        <v>r</v>
      </c>
      <c r="O52" t="str">
        <f t="shared" si="12"/>
        <v>t</v>
      </c>
    </row>
    <row r="53" spans="2:15">
      <c r="B53" s="34" t="s">
        <v>286</v>
      </c>
      <c r="C53" s="23" t="str">
        <f t="shared" si="1"/>
        <v>z</v>
      </c>
      <c r="D53" t="str">
        <f t="shared" si="2"/>
        <v>e</v>
      </c>
      <c r="E53" t="str">
        <f t="shared" si="3"/>
        <v>n</v>
      </c>
      <c r="F53" t="str">
        <f t="shared" si="4"/>
        <v>i</v>
      </c>
      <c r="G53" t="str">
        <f t="shared" si="5"/>
        <v>t</v>
      </c>
      <c r="H53" t="str">
        <f t="shared" si="6"/>
        <v>h</v>
      </c>
      <c r="J53" t="str">
        <f t="shared" si="7"/>
        <v>z</v>
      </c>
      <c r="K53" t="str">
        <f t="shared" si="8"/>
        <v>e</v>
      </c>
      <c r="L53" t="str">
        <f t="shared" si="9"/>
        <v>n</v>
      </c>
      <c r="M53" t="str">
        <f t="shared" si="10"/>
        <v>i</v>
      </c>
      <c r="N53" t="str">
        <f t="shared" si="11"/>
        <v>t</v>
      </c>
      <c r="O53" t="str">
        <f t="shared" si="12"/>
        <v>h</v>
      </c>
    </row>
    <row r="54" spans="2:15">
      <c r="B54" s="34" t="s">
        <v>287</v>
      </c>
      <c r="C54" s="23" t="str">
        <f t="shared" si="1"/>
        <v>z</v>
      </c>
      <c r="D54" t="str">
        <f t="shared" si="2"/>
        <v>o</v>
      </c>
      <c r="E54" t="str">
        <f t="shared" si="3"/>
        <v>d</v>
      </c>
      <c r="F54" t="str">
        <f t="shared" si="4"/>
        <v>i</v>
      </c>
      <c r="G54" t="str">
        <f t="shared" si="5"/>
        <v>a</v>
      </c>
      <c r="H54" t="str">
        <f t="shared" si="6"/>
        <v>c</v>
      </c>
      <c r="J54" t="str">
        <f t="shared" si="7"/>
        <v>z</v>
      </c>
      <c r="K54" t="str">
        <f t="shared" si="8"/>
        <v>o</v>
      </c>
      <c r="L54" t="str">
        <f t="shared" si="9"/>
        <v>d</v>
      </c>
      <c r="M54" t="str">
        <f t="shared" si="10"/>
        <v>i</v>
      </c>
      <c r="N54" t="str">
        <f t="shared" si="11"/>
        <v>a</v>
      </c>
      <c r="O54" t="str">
        <f t="shared" si="12"/>
        <v>c</v>
      </c>
    </row>
    <row r="55" spans="2:15">
      <c r="C55" s="23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 t="str">
        <f t="shared" si="6"/>
        <v/>
      </c>
    </row>
  </sheetData>
  <sortState xmlns:xlrd2="http://schemas.microsoft.com/office/spreadsheetml/2017/richdata2" ref="B1:B54">
    <sortCondition ref="B1"/>
  </sortState>
  <phoneticPr fontId="1" type="noConversion"/>
  <conditionalFormatting sqref="J3:J54">
    <cfRule type="uniqueValues" dxfId="5" priority="6"/>
  </conditionalFormatting>
  <conditionalFormatting sqref="K3:K54">
    <cfRule type="uniqueValues" dxfId="4" priority="5"/>
  </conditionalFormatting>
  <conditionalFormatting sqref="L3:L54">
    <cfRule type="uniqueValues" dxfId="3" priority="4"/>
  </conditionalFormatting>
  <conditionalFormatting sqref="M3:M54">
    <cfRule type="uniqueValues" dxfId="2" priority="3"/>
  </conditionalFormatting>
  <conditionalFormatting sqref="N3:N54">
    <cfRule type="uniqueValues" dxfId="1" priority="2"/>
  </conditionalFormatting>
  <conditionalFormatting sqref="O3:O54">
    <cfRule type="uniqu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Vanilla</vt:lpstr>
      <vt:lpstr>Tools</vt:lpstr>
      <vt:lpstr>Algebra</vt:lpstr>
      <vt:lpstr>Alphabet</vt:lpstr>
      <vt:lpstr>Ex_Password</vt:lpstr>
      <vt:lpstr>PasswordV2</vt:lpstr>
      <vt:lpstr>PasswordV3</vt:lpstr>
      <vt:lpstr>LED Encryption</vt:lpstr>
      <vt:lpstr>Complicated Wires</vt:lpstr>
      <vt:lpstr>Combination Lock</vt:lpstr>
      <vt:lpstr>Crazy Talk</vt:lpstr>
      <vt:lpstr>Hexamaze</vt:lpstr>
      <vt:lpstr>Switches</vt:lpstr>
      <vt:lpstr>SwitchesV1</vt:lpstr>
      <vt:lpstr>Two Bits</vt:lpstr>
      <vt:lpstr>Switches datasheet</vt:lpstr>
      <vt:lpstr>Backup_Password </vt:lpstr>
      <vt:lpstr>Password</vt:lpstr>
      <vt:lpstr>Backup_Complicated Wires</vt:lpstr>
      <vt:lpstr>Backup_PasswordV2</vt:lpstr>
      <vt:lpstr>Data_Password_pattern</vt:lpstr>
      <vt:lpstr>Data_Extended_Password_pattern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Jason</cp:lastModifiedBy>
  <dcterms:created xsi:type="dcterms:W3CDTF">2006-09-16T00:00:00Z</dcterms:created>
  <dcterms:modified xsi:type="dcterms:W3CDTF">2019-04-09T07:31:51Z</dcterms:modified>
</cp:coreProperties>
</file>